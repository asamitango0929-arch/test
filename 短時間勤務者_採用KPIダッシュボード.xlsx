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PIダッシュボード" sheetId="1" state="visible" r:id="rId1"/>
    <sheet name="マスタ" sheetId="2" state="visible" r:id="rId2"/>
    <sheet name="応募者データ" sheetId="3" state="visible" r:id="rId3"/>
    <sheet name="日次レポート" sheetId="4" state="visible" r:id="rId4"/>
  </sheets>
  <definedNames/>
  <calcPr calcId="0" fullCalcOnLoad="1"/>
</workbook>
</file>

<file path=xl/styles.xml><?xml version="1.0" encoding="utf-8"?>
<styleSheet xmlns="http://schemas.openxmlformats.org/spreadsheetml/2006/main">
  <numFmts count="3">
    <numFmt numFmtId="164" formatCode="yyyy/mm/dd"/>
    <numFmt numFmtId="165" formatCode="0.0%"/>
    <numFmt numFmtId="166" formatCode="+#,##0;-#,##0;0"/>
  </numFmts>
  <fonts count="17">
    <font>
      <name val="Calibri"/>
      <family val="2"/>
      <color theme="1"/>
      <sz val="11"/>
      <scheme val="minor"/>
    </font>
    <font>
      <name val="Meiryo"/>
      <b val="1"/>
      <color rgb="002E5496"/>
      <sz val="13"/>
    </font>
    <font>
      <name val="Meiryo"/>
      <b val="1"/>
      <color rgb="00FFFFFF"/>
      <sz val="11"/>
    </font>
    <font>
      <name val="Meiryo"/>
      <color rgb="001A1A1A"/>
      <sz val="10"/>
    </font>
    <font>
      <name val="Meiryo"/>
      <b val="1"/>
      <color rgb="00FFFFFF"/>
      <sz val="12"/>
    </font>
    <font>
      <name val="Meiryo"/>
      <b val="1"/>
      <color rgb="00FFFFFF"/>
      <sz val="10"/>
    </font>
    <font>
      <name val="Meiryo"/>
      <i val="1"/>
      <color rgb="00808080"/>
      <sz val="9"/>
    </font>
    <font>
      <name val="Meiryo"/>
      <i val="1"/>
      <color rgb="00808080"/>
      <sz val="10"/>
    </font>
    <font>
      <name val="Meiryo"/>
      <b val="1"/>
      <color rgb="001A1A1A"/>
      <sz val="10"/>
    </font>
    <font>
      <name val="Meiryo"/>
      <b val="1"/>
      <color rgb="00FFFFFF"/>
      <sz val="18"/>
    </font>
    <font>
      <name val="Meiryo"/>
      <color rgb="00FFFFFF"/>
      <sz val="10"/>
    </font>
    <font>
      <name val="Meiryo"/>
      <b val="1"/>
      <color rgb="001A1A1A"/>
      <sz val="11"/>
    </font>
    <font>
      <name val="Meiryo"/>
      <color rgb="000000FF"/>
      <sz val="11"/>
    </font>
    <font>
      <name val="Meiryo"/>
      <color rgb="001A1A1A"/>
      <sz val="11"/>
    </font>
    <font>
      <name val="Meiryo"/>
      <b val="1"/>
      <color rgb="002E5496"/>
      <sz val="11"/>
    </font>
    <font>
      <name val="Meiryo"/>
      <color rgb="00808080"/>
      <sz val="9"/>
    </font>
    <font>
      <name val="Meiryo"/>
      <b val="1"/>
      <color rgb="002E5496"/>
      <sz val="10"/>
    </font>
  </fonts>
  <fills count="9">
    <fill>
      <patternFill/>
    </fill>
    <fill>
      <patternFill patternType="gray125"/>
    </fill>
    <fill>
      <patternFill patternType="solid">
        <fgColor rgb="002E5496"/>
      </patternFill>
    </fill>
    <fill>
      <patternFill patternType="solid">
        <fgColor rgb="001F3864"/>
      </patternFill>
    </fill>
    <fill>
      <patternFill patternType="solid">
        <fgColor rgb="00F2F2F2"/>
      </patternFill>
    </fill>
    <fill>
      <patternFill patternType="solid">
        <fgColor rgb="00548235"/>
      </patternFill>
    </fill>
    <fill>
      <patternFill patternType="solid">
        <fgColor rgb="00D9E1F2"/>
      </patternFill>
    </fill>
    <fill>
      <patternFill patternType="solid">
        <fgColor rgb="00808080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33">
    <xf numFmtId="0" fontId="0" fillId="0" borderId="0" pivotButton="0" quotePrefix="0" xfId="0"/>
    <xf numFmtId="0" fontId="9" fillId="3" borderId="0" applyAlignment="1" pivotButton="0" quotePrefix="0" xfId="0">
      <alignment horizontal="left" vertical="center"/>
    </xf>
    <xf numFmtId="0" fontId="10" fillId="2" borderId="0" applyAlignment="1" pivotButton="0" quotePrefix="0" xfId="0">
      <alignment horizontal="left" vertical="center"/>
    </xf>
    <xf numFmtId="0" fontId="4" fillId="2" borderId="0" applyAlignment="1" pivotButton="0" quotePrefix="0" xfId="0">
      <alignment horizontal="left" vertical="center" wrapText="1"/>
    </xf>
    <xf numFmtId="0" fontId="5" fillId="7" borderId="1" applyAlignment="1" pivotButton="0" quotePrefix="0" xfId="0">
      <alignment horizontal="center" vertical="center" wrapText="1"/>
    </xf>
    <xf numFmtId="0" fontId="11" fillId="0" borderId="1" applyAlignment="1" pivotButton="0" quotePrefix="0" xfId="0">
      <alignment horizontal="left" vertical="center" wrapText="1"/>
    </xf>
    <xf numFmtId="0" fontId="12" fillId="8" borderId="1" applyAlignment="1" pivotButton="0" quotePrefix="0" xfId="0">
      <alignment horizontal="center" vertical="center" wrapText="1"/>
    </xf>
    <xf numFmtId="0" fontId="13" fillId="0" borderId="1" applyAlignment="1" pivotButton="0" quotePrefix="0" xfId="0">
      <alignment horizontal="center" vertical="center" wrapText="1"/>
    </xf>
    <xf numFmtId="165" fontId="0" fillId="0" borderId="1" applyAlignment="1" pivotButton="0" quotePrefix="0" xfId="0">
      <alignment horizontal="center" vertical="center" wrapText="1"/>
    </xf>
    <xf numFmtId="166" fontId="0" fillId="0" borderId="1" applyAlignment="1" pivotButton="0" quotePrefix="0" xfId="0">
      <alignment horizontal="center" vertical="center" wrapText="1"/>
    </xf>
    <xf numFmtId="165" fontId="14" fillId="0" borderId="1" applyAlignment="1" pivotButton="0" quotePrefix="0" xfId="0">
      <alignment horizontal="center" vertical="center" wrapText="1"/>
    </xf>
    <xf numFmtId="0" fontId="15" fillId="0" borderId="1" applyAlignment="1" pivotButton="0" quotePrefix="0" xfId="0">
      <alignment horizontal="left" vertical="center" wrapText="1"/>
    </xf>
    <xf numFmtId="0" fontId="0" fillId="0" borderId="1" pivotButton="0" quotePrefix="0" xfId="0"/>
    <xf numFmtId="0" fontId="8" fillId="0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center" vertical="center" wrapText="1"/>
    </xf>
    <xf numFmtId="0" fontId="8" fillId="4" borderId="1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center" vertical="center" wrapText="1"/>
    </xf>
    <xf numFmtId="0" fontId="5" fillId="2" borderId="1" applyAlignment="1" pivotButton="0" quotePrefix="0" xfId="0">
      <alignment horizontal="left" vertical="center" wrapText="1"/>
    </xf>
    <xf numFmtId="0" fontId="5" fillId="2" borderId="1" applyAlignment="1" pivotButton="0" quotePrefix="0" xfId="0">
      <alignment horizontal="center" vertical="center" wrapText="1"/>
    </xf>
    <xf numFmtId="0" fontId="16" fillId="0" borderId="0" pivotButton="0" quotePrefix="0" xfId="0"/>
    <xf numFmtId="0" fontId="15" fillId="0" borderId="0" applyAlignment="1" pivotButton="0" quotePrefix="0" xfId="0">
      <alignment horizontal="left" vertical="center" wrapText="1"/>
    </xf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 wrapText="1"/>
    </xf>
    <xf numFmtId="0" fontId="4" fillId="3" borderId="0" applyAlignment="1" pivotButton="0" quotePrefix="0" xfId="0">
      <alignment horizontal="left" vertical="center" wrapText="1"/>
    </xf>
    <xf numFmtId="164" fontId="3" fillId="0" borderId="1" applyAlignment="1" pivotButton="0" quotePrefix="0" xfId="0">
      <alignment horizontal="center" vertical="center" wrapText="1"/>
    </xf>
    <xf numFmtId="0" fontId="6" fillId="0" borderId="0" applyAlignment="1" pivotButton="0" quotePrefix="0" xfId="0">
      <alignment horizontal="left" vertical="center" wrapText="1"/>
    </xf>
    <xf numFmtId="0" fontId="5" fillId="5" borderId="0" applyAlignment="1" pivotButton="0" quotePrefix="0" xfId="0">
      <alignment horizontal="center" vertical="center" wrapText="1"/>
    </xf>
    <xf numFmtId="164" fontId="7" fillId="4" borderId="1" applyAlignment="1" pivotButton="0" quotePrefix="0" xfId="0">
      <alignment horizontal="center" vertical="center" wrapText="1"/>
    </xf>
    <xf numFmtId="0" fontId="7" fillId="4" borderId="1" applyAlignment="1" pivotButton="0" quotePrefix="0" xfId="0">
      <alignment horizontal="center" vertical="center" wrapText="1"/>
    </xf>
    <xf numFmtId="0" fontId="7" fillId="4" borderId="1" applyAlignment="1" pivotButton="0" quotePrefix="0" xfId="0">
      <alignment horizontal="left" vertical="center" wrapText="1"/>
    </xf>
    <xf numFmtId="0" fontId="8" fillId="6" borderId="1" applyAlignment="1" pivotButton="0" quotePrefix="0" xfId="0">
      <alignment horizontal="left" vertical="center" wrapText="1"/>
    </xf>
    <xf numFmtId="164" fontId="0" fillId="0" borderId="1" pivotButton="0" quotePrefix="0" xfId="0"/>
  </cellXfs>
  <cellStyles count="1">
    <cellStyle name="Normal" xfId="0" builtinId="0" hidden="0"/>
  </cellStyles>
  <dxfs count="4">
    <dxf>
      <font>
        <name val="Meiryo"/>
        <b val="1"/>
        <color rgb="00006100"/>
      </font>
      <fill>
        <patternFill patternType="solid">
          <fgColor rgb="00C6EFCE"/>
        </patternFill>
      </fill>
    </dxf>
    <dxf>
      <font>
        <name val="Meiryo"/>
        <color rgb="009C6500"/>
      </font>
      <fill>
        <patternFill patternType="solid">
          <fgColor rgb="00FFEB9C"/>
        </patternFill>
      </fill>
    </dxf>
    <dxf>
      <font>
        <name val="Meiryo"/>
        <color rgb="009C0006"/>
      </font>
      <fill>
        <patternFill patternType="solid">
          <fgColor rgb="00FFC7CE"/>
        </patternFill>
      </fill>
    </dxf>
    <dxf>
      <font>
        <name val="Meiryo"/>
        <b val="1"/>
        <color rgb="009C0006"/>
      </font>
      <fill>
        <patternFill patternType="solid">
          <fgColor rgb="00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採用ファネル（実績）</a:t>
            </a:r>
          </a:p>
        </rich>
      </tx>
    </title>
    <plotArea>
      <barChart>
        <barDir val="bar"/>
        <grouping val="clustered"/>
        <ser>
          <idx val="0"/>
          <order val="0"/>
          <spPr>
            <a:ln>
              <a:prstDash val="solid"/>
            </a:ln>
          </spPr>
          <cat>
            <numRef>
              <f>'KPIダッシュボード'!$B$6:$B$11</f>
            </numRef>
          </cat>
          <val>
            <numRef>
              <f>'KPIダッシュボード'!$D$6:$D$11</f>
            </numRef>
          </val>
        </ser>
        <dLbls>
          <showVal val="1"/>
        </dLbls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媒体別 応募数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'KPIダッシュボード'!C21</f>
            </strRef>
          </tx>
          <spPr>
            <a:ln>
              <a:prstDash val="solid"/>
            </a:ln>
          </spPr>
          <cat>
            <numRef>
              <f>'KPIダッシュボード'!$B$22:$B$27</f>
            </numRef>
          </cat>
          <val>
            <numRef>
              <f>'KPIダッシュボード'!$C$22:$C$27</f>
            </numRef>
          </val>
        </ser>
        <dLbls>
          <showVal val="1"/>
        </dLbls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推移（日次）</a:t>
            </a:r>
          </a:p>
        </rich>
      </tx>
    </title>
    <plotArea>
      <lineChart>
        <grouping val="standard"/>
        <ser>
          <idx val="0"/>
          <order val="0"/>
          <tx>
            <strRef>
              <f>'日次レポート'!B3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'日次レポート'!$A$4:$A$16</f>
            </numRef>
          </cat>
          <val>
            <numRef>
              <f>'日次レポート'!$B$4:$B$16</f>
            </numRef>
          </val>
        </ser>
        <ser>
          <idx val="1"/>
          <order val="1"/>
          <tx>
            <strRef>
              <f>'日次レポート'!C3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'日次レポート'!$A$4:$A$16</f>
            </numRef>
          </cat>
          <val>
            <numRef>
              <f>'日次レポート'!$C$4:$C$16</f>
            </numRef>
          </val>
        </ser>
        <ser>
          <idx val="2"/>
          <order val="2"/>
          <tx>
            <strRef>
              <f>'日次レポート'!D3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'日次レポート'!$A$4:$A$16</f>
            </numRef>
          </cat>
          <val>
            <numRef>
              <f>'日次レポート'!$D$4:$D$16</f>
            </numRef>
          </val>
        </ser>
        <ser>
          <idx val="3"/>
          <order val="3"/>
          <tx>
            <strRef>
              <f>'日次レポート'!E3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'日次レポート'!$A$4:$A$16</f>
            </numRef>
          </cat>
          <val>
            <numRef>
              <f>'日次レポート'!$E$4:$E$16</f>
            </numRef>
          </val>
        </ser>
        <ser>
          <idx val="4"/>
          <order val="4"/>
          <tx>
            <strRef>
              <f>'日次レポート'!F3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'日次レポート'!$A$4:$A$16</f>
            </numRef>
          </cat>
          <val>
            <numRef>
              <f>'日次レポート'!$F$4:$F$16</f>
            </numRef>
          </val>
        </ser>
        <ser>
          <idx val="5"/>
          <order val="5"/>
          <tx>
            <strRef>
              <f>'日次レポート'!G3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'日次レポート'!$A$4:$A$16</f>
            </numRef>
          </cat>
          <val>
            <numRef>
              <f>'日次レポート'!$G$4:$G$16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9</col>
      <colOff>0</colOff>
      <row>3</row>
      <rowOff>0</rowOff>
    </from>
    <ext cx="4320000" cy="25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19</row>
      <rowOff>0</rowOff>
    </from>
    <ext cx="4320000" cy="252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9</col>
      <colOff>0</colOff>
      <row>35</row>
      <rowOff>0</rowOff>
    </from>
    <ext cx="4320000" cy="252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1F3864"/>
    <outlinePr summaryBelow="1" summaryRight="1"/>
    <pageSetUpPr/>
  </sheetPr>
  <dimension ref="B1:H40"/>
  <sheetViews>
    <sheetView showGridLines="0" zoomScale="100" workbookViewId="0">
      <selection activeCell="A1" sqref="A1"/>
    </sheetView>
  </sheetViews>
  <sheetFormatPr baseColWidth="8" defaultRowHeight="15"/>
  <cols>
    <col width="2" customWidth="1" min="1" max="1"/>
    <col width="18" customWidth="1" min="2" max="2"/>
    <col width="11" customWidth="1" min="3" max="3"/>
    <col width="12" customWidth="1" min="4" max="4"/>
    <col width="10" customWidth="1" min="5" max="5"/>
    <col width="11" customWidth="1" min="6" max="6"/>
    <col width="11" customWidth="1" min="7" max="7"/>
    <col width="11" customWidth="1" min="8" max="8"/>
    <col width="2" customWidth="1" min="9" max="9"/>
  </cols>
  <sheetData>
    <row r="1" ht="34" customHeight="1">
      <c r="B1" s="1" t="inlineStr">
        <is>
          <t>📊 短時間勤務者　採用KPIダッシュボード</t>
        </is>
      </c>
    </row>
    <row r="2" ht="20" customHeight="1">
      <c r="B2" s="2">
        <f>TEXT(MAX(日次レポート!$A$4:$A$200),"yyyy/mm/dd")&amp;" 時点　｜　成田(NRT)・千歳(CTS) パート採用進捗　｜　数値は応募者データより自動集計"</f>
        <v/>
      </c>
    </row>
    <row r="4" ht="22" customHeight="1">
      <c r="B4" s="3" t="inlineStr">
        <is>
          <t>①  採用ファネル：目標 vs 実績（累計）</t>
        </is>
      </c>
    </row>
    <row r="5">
      <c r="B5" s="4" t="inlineStr">
        <is>
          <t>指標</t>
        </is>
      </c>
      <c r="C5" s="4" t="inlineStr">
        <is>
          <t>目標</t>
        </is>
      </c>
      <c r="D5" s="4" t="inlineStr">
        <is>
          <t>実績(累計)</t>
        </is>
      </c>
      <c r="E5" s="4" t="inlineStr">
        <is>
          <t>達成率</t>
        </is>
      </c>
      <c r="F5" s="4" t="inlineStr">
        <is>
          <t>前日</t>
        </is>
      </c>
      <c r="G5" s="4" t="inlineStr">
        <is>
          <t>前日比</t>
        </is>
      </c>
    </row>
    <row r="6">
      <c r="B6" s="5" t="inlineStr">
        <is>
          <t>応募数</t>
        </is>
      </c>
      <c r="C6" s="6" t="n">
        <v>50</v>
      </c>
      <c r="D6" s="7">
        <f>COUNTA(応募者データ!$E$3:$E$502)</f>
        <v/>
      </c>
      <c r="E6" s="8">
        <f>IFERROR(D6/C6,"")</f>
        <v/>
      </c>
      <c r="F6" s="7">
        <f>IFERROR(LOOKUP(1E+100,日次レポート!B$4:B$200),0)</f>
        <v/>
      </c>
      <c r="G6" s="9">
        <f>D6-F6</f>
        <v/>
      </c>
    </row>
    <row r="7">
      <c r="B7" s="5" t="inlineStr">
        <is>
          <t>書類通過</t>
        </is>
      </c>
      <c r="C7" s="6" t="n">
        <v>25</v>
      </c>
      <c r="D7" s="7">
        <f>COUNTIF(応募者データ!$I$3:$I$502,"通過")</f>
        <v/>
      </c>
      <c r="E7" s="8">
        <f>IFERROR(D7/C7,"")</f>
        <v/>
      </c>
      <c r="F7" s="7">
        <f>IFERROR(LOOKUP(1E+100,日次レポート!C$4:C$200),0)</f>
        <v/>
      </c>
      <c r="G7" s="9">
        <f>D7-F7</f>
        <v/>
      </c>
    </row>
    <row r="8">
      <c r="B8" s="5" t="inlineStr">
        <is>
          <t>面接設定</t>
        </is>
      </c>
      <c r="C8" s="6" t="n">
        <v>15</v>
      </c>
      <c r="D8" s="7">
        <f>COUNTIF(応募者データ!$K$3:$K$502,"面接調整中")+COUNTIF(応募者データ!$K$3:$K$502,"面接日確定")+COUNTIF(応募者データ!$K$3:$K$502,"面接実施済み")</f>
        <v/>
      </c>
      <c r="E8" s="8">
        <f>IFERROR(D8/C8,"")</f>
        <v/>
      </c>
      <c r="F8" s="7">
        <f>IFERROR(LOOKUP(1E+100,日次レポート!D$4:D$200),0)</f>
        <v/>
      </c>
      <c r="G8" s="9">
        <f>D8-F8</f>
        <v/>
      </c>
    </row>
    <row r="9">
      <c r="B9" s="5" t="inlineStr">
        <is>
          <t>面接実施</t>
        </is>
      </c>
      <c r="C9" s="6" t="n">
        <v>12</v>
      </c>
      <c r="D9" s="7">
        <f>COUNTIF(応募者データ!$K$3:$K$502,"面接実施済み")</f>
        <v/>
      </c>
      <c r="E9" s="8">
        <f>IFERROR(D9/C9,"")</f>
        <v/>
      </c>
      <c r="F9" s="7">
        <f>IFERROR(LOOKUP(1E+100,日次レポート!E$4:E$200),0)</f>
        <v/>
      </c>
      <c r="G9" s="9">
        <f>D9-F9</f>
        <v/>
      </c>
    </row>
    <row r="10">
      <c r="B10" s="5" t="inlineStr">
        <is>
          <t>内定</t>
        </is>
      </c>
      <c r="C10" s="6" t="n">
        <v>8</v>
      </c>
      <c r="D10" s="7">
        <f>COUNTIF(応募者データ!$M$3:$M$502,"採用")+COUNTIF(応募者データ!$M$3:$M$502,"入社予定")+COUNTIF(応募者データ!$M$3:$M$502,"採用辞退")+COUNTIF(応募者データ!$M$3:$M$502,"入社辞退")</f>
        <v/>
      </c>
      <c r="E10" s="8">
        <f>IFERROR(D10/C10,"")</f>
        <v/>
      </c>
      <c r="F10" s="7">
        <f>IFERROR(LOOKUP(1E+100,日次レポート!F$4:F$200),0)</f>
        <v/>
      </c>
      <c r="G10" s="9">
        <f>D10-F10</f>
        <v/>
      </c>
    </row>
    <row r="11">
      <c r="B11" s="5" t="inlineStr">
        <is>
          <t>承諾</t>
        </is>
      </c>
      <c r="C11" s="6" t="n">
        <v>6</v>
      </c>
      <c r="D11" s="7">
        <f>COUNTIF(応募者データ!$M$3:$M$502,"採用")+COUNTIF(応募者データ!$M$3:$M$502,"入社予定")</f>
        <v/>
      </c>
      <c r="E11" s="8">
        <f>IFERROR(D11/C11,"")</f>
        <v/>
      </c>
      <c r="F11" s="7">
        <f>IFERROR(LOOKUP(1E+100,日次レポート!G$4:G$200),0)</f>
        <v/>
      </c>
      <c r="G11" s="9">
        <f>D11-F11</f>
        <v/>
      </c>
    </row>
    <row r="13" ht="22" customHeight="1">
      <c r="B13" s="3" t="inlineStr">
        <is>
          <t>②  転換率（歩留まり）</t>
        </is>
      </c>
    </row>
    <row r="14">
      <c r="B14" s="4" t="inlineStr">
        <is>
          <t>指標</t>
        </is>
      </c>
      <c r="C14" s="4" t="inlineStr">
        <is>
          <t>値</t>
        </is>
      </c>
      <c r="D14" s="4" t="inlineStr">
        <is>
          <t>計算式・定義</t>
        </is>
      </c>
    </row>
    <row r="15">
      <c r="B15" s="5" t="inlineStr">
        <is>
          <t>書類通過率</t>
        </is>
      </c>
      <c r="C15" s="10">
        <f>IFERROR(D7/D6,"")</f>
        <v/>
      </c>
      <c r="D15" s="11" t="inlineStr">
        <is>
          <t>書類通過 ÷ 応募数</t>
        </is>
      </c>
      <c r="E15" s="12" t="n"/>
      <c r="F15" s="12" t="n"/>
      <c r="G15" s="12" t="n"/>
    </row>
    <row r="16">
      <c r="B16" s="5" t="inlineStr">
        <is>
          <t>面接設定率</t>
        </is>
      </c>
      <c r="C16" s="10">
        <f>IFERROR(D8/D7,"")</f>
        <v/>
      </c>
      <c r="D16" s="11" t="inlineStr">
        <is>
          <t>面接設定 ÷ 書類通過</t>
        </is>
      </c>
      <c r="E16" s="12" t="n"/>
      <c r="F16" s="12" t="n"/>
      <c r="G16" s="12" t="n"/>
    </row>
    <row r="17">
      <c r="B17" s="5" t="inlineStr">
        <is>
          <t>面接実施率</t>
        </is>
      </c>
      <c r="C17" s="10">
        <f>IFERROR(D9/D8,"")</f>
        <v/>
      </c>
      <c r="D17" s="11" t="inlineStr">
        <is>
          <t>面接実施 ÷ 面接設定</t>
        </is>
      </c>
      <c r="E17" s="12" t="n"/>
      <c r="F17" s="12" t="n"/>
      <c r="G17" s="12" t="n"/>
    </row>
    <row r="18">
      <c r="B18" s="5" t="inlineStr">
        <is>
          <t>内定率</t>
        </is>
      </c>
      <c r="C18" s="10">
        <f>IFERROR(D10/D9,"")</f>
        <v/>
      </c>
      <c r="D18" s="11" t="inlineStr">
        <is>
          <t>内定 ÷ 面接実施</t>
        </is>
      </c>
      <c r="E18" s="12" t="n"/>
      <c r="F18" s="12" t="n"/>
      <c r="G18" s="12" t="n"/>
    </row>
    <row r="19">
      <c r="B19" s="5" t="inlineStr">
        <is>
          <t>承諾率</t>
        </is>
      </c>
      <c r="C19" s="10">
        <f>IFERROR(D11/D10,"")</f>
        <v/>
      </c>
      <c r="D19" s="11" t="inlineStr">
        <is>
          <t>承諾 ÷ 内定</t>
        </is>
      </c>
      <c r="E19" s="12" t="n"/>
      <c r="F19" s="12" t="n"/>
      <c r="G19" s="12" t="n"/>
    </row>
    <row r="20" ht="22" customHeight="1">
      <c r="B20" s="3" t="inlineStr">
        <is>
          <t>③  媒体別 実績</t>
        </is>
      </c>
    </row>
    <row r="21">
      <c r="B21" s="4" t="inlineStr">
        <is>
          <t>媒体</t>
        </is>
      </c>
      <c r="C21" s="4" t="inlineStr">
        <is>
          <t>応募数</t>
        </is>
      </c>
      <c r="D21" s="4" t="inlineStr">
        <is>
          <t>書類通過</t>
        </is>
      </c>
      <c r="E21" s="4" t="inlineStr">
        <is>
          <t>面接設定</t>
        </is>
      </c>
      <c r="F21" s="4" t="inlineStr">
        <is>
          <t>面接実施</t>
        </is>
      </c>
      <c r="G21" s="4" t="inlineStr">
        <is>
          <t>内定</t>
        </is>
      </c>
      <c r="H21" s="4" t="inlineStr">
        <is>
          <t>承諾</t>
        </is>
      </c>
    </row>
    <row r="22">
      <c r="B22" s="13" t="inlineStr">
        <is>
          <t>バイトル</t>
        </is>
      </c>
      <c r="C22" s="14">
        <f>COUNTIF(応募者データ!$B$3:$B$502,"バイトル")</f>
        <v/>
      </c>
      <c r="D22" s="14">
        <f>COUNTIFS(応募者データ!$B$3:$B$502,"バイトル",応募者データ!$I$3:$I$502,"通過")</f>
        <v/>
      </c>
      <c r="E22" s="14">
        <f>COUNTIFS(応募者データ!$B$3:$B$502,"バイトル",応募者データ!$K$3:$K$502,"面接調整中")+COUNTIFS(応募者データ!$B$3:$B$502,"バイトル",応募者データ!$K$3:$K$502,"面接日確定")+COUNTIFS(応募者データ!$B$3:$B$502,"バイトル",応募者データ!$K$3:$K$502,"面接実施済み")</f>
        <v/>
      </c>
      <c r="F22" s="14">
        <f>COUNTIFS(応募者データ!$B$3:$B$502,"バイトル",応募者データ!$K$3:$K$502,"面接実施済み")</f>
        <v/>
      </c>
      <c r="G22" s="14">
        <f>COUNTIFS(応募者データ!$B$3:$B$502,"バイトル",応募者データ!$M$3:$M$502,"採用")+COUNTIFS(応募者データ!$B$3:$B$502,"バイトル",応募者データ!$M$3:$M$502,"入社予定")+COUNTIFS(応募者データ!$B$3:$B$502,"バイトル",応募者データ!$M$3:$M$502,"採用辞退")+COUNTIFS(応募者データ!$B$3:$B$502,"バイトル",応募者データ!$M$3:$M$502,"入社辞退")</f>
        <v/>
      </c>
      <c r="H22" s="14">
        <f>COUNTIFS(応募者データ!$B$3:$B$502,"バイトル",応募者データ!$M$3:$M$502,"採用")+COUNTIFS(応募者データ!$B$3:$B$502,"バイトル",応募者データ!$M$3:$M$502,"入社予定")</f>
        <v/>
      </c>
    </row>
    <row r="23">
      <c r="B23" s="15" t="inlineStr">
        <is>
          <t>マイナビバイト</t>
        </is>
      </c>
      <c r="C23" s="16">
        <f>COUNTIF(応募者データ!$B$3:$B$502,"マイナビバイト")</f>
        <v/>
      </c>
      <c r="D23" s="16">
        <f>COUNTIFS(応募者データ!$B$3:$B$502,"マイナビバイト",応募者データ!$I$3:$I$502,"通過")</f>
        <v/>
      </c>
      <c r="E23" s="16">
        <f>COUNTIFS(応募者データ!$B$3:$B$502,"マイナビバイト",応募者データ!$K$3:$K$502,"面接調整中")+COUNTIFS(応募者データ!$B$3:$B$502,"マイナビバイト",応募者データ!$K$3:$K$502,"面接日確定")+COUNTIFS(応募者データ!$B$3:$B$502,"マイナビバイト",応募者データ!$K$3:$K$502,"面接実施済み")</f>
        <v/>
      </c>
      <c r="F23" s="16">
        <f>COUNTIFS(応募者データ!$B$3:$B$502,"マイナビバイト",応募者データ!$K$3:$K$502,"面接実施済み")</f>
        <v/>
      </c>
      <c r="G23" s="16">
        <f>COUNTIFS(応募者データ!$B$3:$B$502,"マイナビバイト",応募者データ!$M$3:$M$502,"採用")+COUNTIFS(応募者データ!$B$3:$B$502,"マイナビバイト",応募者データ!$M$3:$M$502,"入社予定")+COUNTIFS(応募者データ!$B$3:$B$502,"マイナビバイト",応募者データ!$M$3:$M$502,"採用辞退")+COUNTIFS(応募者データ!$B$3:$B$502,"マイナビバイト",応募者データ!$M$3:$M$502,"入社辞退")</f>
        <v/>
      </c>
      <c r="H23" s="16">
        <f>COUNTIFS(応募者データ!$B$3:$B$502,"マイナビバイト",応募者データ!$M$3:$M$502,"採用")+COUNTIFS(応募者データ!$B$3:$B$502,"マイナビバイト",応募者データ!$M$3:$M$502,"入社予定")</f>
        <v/>
      </c>
    </row>
    <row r="24">
      <c r="B24" s="13" t="inlineStr">
        <is>
          <t>ちゃんと</t>
        </is>
      </c>
      <c r="C24" s="14">
        <f>COUNTIF(応募者データ!$B$3:$B$502,"ちゃんと")</f>
        <v/>
      </c>
      <c r="D24" s="14">
        <f>COUNTIFS(応募者データ!$B$3:$B$502,"ちゃんと",応募者データ!$I$3:$I$502,"通過")</f>
        <v/>
      </c>
      <c r="E24" s="14">
        <f>COUNTIFS(応募者データ!$B$3:$B$502,"ちゃんと",応募者データ!$K$3:$K$502,"面接調整中")+COUNTIFS(応募者データ!$B$3:$B$502,"ちゃんと",応募者データ!$K$3:$K$502,"面接日確定")+COUNTIFS(応募者データ!$B$3:$B$502,"ちゃんと",応募者データ!$K$3:$K$502,"面接実施済み")</f>
        <v/>
      </c>
      <c r="F24" s="14">
        <f>COUNTIFS(応募者データ!$B$3:$B$502,"ちゃんと",応募者データ!$K$3:$K$502,"面接実施済み")</f>
        <v/>
      </c>
      <c r="G24" s="14">
        <f>COUNTIFS(応募者データ!$B$3:$B$502,"ちゃんと",応募者データ!$M$3:$M$502,"採用")+COUNTIFS(応募者データ!$B$3:$B$502,"ちゃんと",応募者データ!$M$3:$M$502,"入社予定")+COUNTIFS(応募者データ!$B$3:$B$502,"ちゃんと",応募者データ!$M$3:$M$502,"採用辞退")+COUNTIFS(応募者データ!$B$3:$B$502,"ちゃんと",応募者データ!$M$3:$M$502,"入社辞退")</f>
        <v/>
      </c>
      <c r="H24" s="14">
        <f>COUNTIFS(応募者データ!$B$3:$B$502,"ちゃんと",応募者データ!$M$3:$M$502,"採用")+COUNTIFS(応募者データ!$B$3:$B$502,"ちゃんと",応募者データ!$M$3:$M$502,"入社予定")</f>
        <v/>
      </c>
    </row>
    <row r="25">
      <c r="B25" s="15" t="inlineStr">
        <is>
          <t>社員紹介</t>
        </is>
      </c>
      <c r="C25" s="16">
        <f>COUNTIF(応募者データ!$B$3:$B$502,"社員紹介")</f>
        <v/>
      </c>
      <c r="D25" s="16">
        <f>COUNTIFS(応募者データ!$B$3:$B$502,"社員紹介",応募者データ!$I$3:$I$502,"通過")</f>
        <v/>
      </c>
      <c r="E25" s="16">
        <f>COUNTIFS(応募者データ!$B$3:$B$502,"社員紹介",応募者データ!$K$3:$K$502,"面接調整中")+COUNTIFS(応募者データ!$B$3:$B$502,"社員紹介",応募者データ!$K$3:$K$502,"面接日確定")+COUNTIFS(応募者データ!$B$3:$B$502,"社員紹介",応募者データ!$K$3:$K$502,"面接実施済み")</f>
        <v/>
      </c>
      <c r="F25" s="16">
        <f>COUNTIFS(応募者データ!$B$3:$B$502,"社員紹介",応募者データ!$K$3:$K$502,"面接実施済み")</f>
        <v/>
      </c>
      <c r="G25" s="16">
        <f>COUNTIFS(応募者データ!$B$3:$B$502,"社員紹介",応募者データ!$M$3:$M$502,"採用")+COUNTIFS(応募者データ!$B$3:$B$502,"社員紹介",応募者データ!$M$3:$M$502,"入社予定")+COUNTIFS(応募者データ!$B$3:$B$502,"社員紹介",応募者データ!$M$3:$M$502,"採用辞退")+COUNTIFS(応募者データ!$B$3:$B$502,"社員紹介",応募者データ!$M$3:$M$502,"入社辞退")</f>
        <v/>
      </c>
      <c r="H25" s="16">
        <f>COUNTIFS(応募者データ!$B$3:$B$502,"社員紹介",応募者データ!$M$3:$M$502,"採用")+COUNTIFS(応募者データ!$B$3:$B$502,"社員紹介",応募者データ!$M$3:$M$502,"入社予定")</f>
        <v/>
      </c>
    </row>
    <row r="26">
      <c r="B26" s="13" t="inlineStr">
        <is>
          <t>HP</t>
        </is>
      </c>
      <c r="C26" s="14">
        <f>COUNTIF(応募者データ!$B$3:$B$502,"HP")</f>
        <v/>
      </c>
      <c r="D26" s="14">
        <f>COUNTIFS(応募者データ!$B$3:$B$502,"HP",応募者データ!$I$3:$I$502,"通過")</f>
        <v/>
      </c>
      <c r="E26" s="14">
        <f>COUNTIFS(応募者データ!$B$3:$B$502,"HP",応募者データ!$K$3:$K$502,"面接調整中")+COUNTIFS(応募者データ!$B$3:$B$502,"HP",応募者データ!$K$3:$K$502,"面接日確定")+COUNTIFS(応募者データ!$B$3:$B$502,"HP",応募者データ!$K$3:$K$502,"面接実施済み")</f>
        <v/>
      </c>
      <c r="F26" s="14">
        <f>COUNTIFS(応募者データ!$B$3:$B$502,"HP",応募者データ!$K$3:$K$502,"面接実施済み")</f>
        <v/>
      </c>
      <c r="G26" s="14">
        <f>COUNTIFS(応募者データ!$B$3:$B$502,"HP",応募者データ!$M$3:$M$502,"採用")+COUNTIFS(応募者データ!$B$3:$B$502,"HP",応募者データ!$M$3:$M$502,"入社予定")+COUNTIFS(応募者データ!$B$3:$B$502,"HP",応募者データ!$M$3:$M$502,"採用辞退")+COUNTIFS(応募者データ!$B$3:$B$502,"HP",応募者データ!$M$3:$M$502,"入社辞退")</f>
        <v/>
      </c>
      <c r="H26" s="14">
        <f>COUNTIFS(応募者データ!$B$3:$B$502,"HP",応募者データ!$M$3:$M$502,"採用")+COUNTIFS(応募者データ!$B$3:$B$502,"HP",応募者データ!$M$3:$M$502,"入社予定")</f>
        <v/>
      </c>
    </row>
    <row r="27">
      <c r="B27" s="15" t="inlineStr">
        <is>
          <t>その他</t>
        </is>
      </c>
      <c r="C27" s="16">
        <f>COUNTIF(応募者データ!$B$3:$B$502,"その他")</f>
        <v/>
      </c>
      <c r="D27" s="16">
        <f>COUNTIFS(応募者データ!$B$3:$B$502,"その他",応募者データ!$I$3:$I$502,"通過")</f>
        <v/>
      </c>
      <c r="E27" s="16">
        <f>COUNTIFS(応募者データ!$B$3:$B$502,"その他",応募者データ!$K$3:$K$502,"面接調整中")+COUNTIFS(応募者データ!$B$3:$B$502,"その他",応募者データ!$K$3:$K$502,"面接日確定")+COUNTIFS(応募者データ!$B$3:$B$502,"その他",応募者データ!$K$3:$K$502,"面接実施済み")</f>
        <v/>
      </c>
      <c r="F27" s="16">
        <f>COUNTIFS(応募者データ!$B$3:$B$502,"その他",応募者データ!$K$3:$K$502,"面接実施済み")</f>
        <v/>
      </c>
      <c r="G27" s="16">
        <f>COUNTIFS(応募者データ!$B$3:$B$502,"その他",応募者データ!$M$3:$M$502,"採用")+COUNTIFS(応募者データ!$B$3:$B$502,"その他",応募者データ!$M$3:$M$502,"入社予定")+COUNTIFS(応募者データ!$B$3:$B$502,"その他",応募者データ!$M$3:$M$502,"採用辞退")+COUNTIFS(応募者データ!$B$3:$B$502,"その他",応募者データ!$M$3:$M$502,"入社辞退")</f>
        <v/>
      </c>
      <c r="H27" s="16">
        <f>COUNTIFS(応募者データ!$B$3:$B$502,"その他",応募者データ!$M$3:$M$502,"採用")+COUNTIFS(応募者データ!$B$3:$B$502,"その他",応募者データ!$M$3:$M$502,"入社予定")</f>
        <v/>
      </c>
    </row>
    <row r="28">
      <c r="B28" s="17" t="inlineStr">
        <is>
          <t>合計</t>
        </is>
      </c>
      <c r="C28" s="18">
        <f>SUM(C22:C27)</f>
        <v/>
      </c>
      <c r="D28" s="18">
        <f>SUM(D22:D27)</f>
        <v/>
      </c>
      <c r="E28" s="18">
        <f>SUM(E22:E27)</f>
        <v/>
      </c>
      <c r="F28" s="18">
        <f>SUM(F22:F27)</f>
        <v/>
      </c>
      <c r="G28" s="18">
        <f>SUM(G22:G27)</f>
        <v/>
      </c>
      <c r="H28" s="18">
        <f>SUM(H22:H27)</f>
        <v/>
      </c>
    </row>
    <row r="30" ht="22" customHeight="1">
      <c r="B30" s="3" t="inlineStr">
        <is>
          <t>④  基地別 実績（NRT=成田 / CTS=千歳）</t>
        </is>
      </c>
    </row>
    <row r="31">
      <c r="B31" s="4" t="inlineStr">
        <is>
          <t>基地</t>
        </is>
      </c>
      <c r="C31" s="4" t="inlineStr">
        <is>
          <t>応募数</t>
        </is>
      </c>
      <c r="D31" s="4" t="inlineStr">
        <is>
          <t>書類通過</t>
        </is>
      </c>
      <c r="E31" s="4" t="inlineStr">
        <is>
          <t>面接設定</t>
        </is>
      </c>
      <c r="F31" s="4" t="inlineStr">
        <is>
          <t>面接実施</t>
        </is>
      </c>
      <c r="G31" s="4" t="inlineStr">
        <is>
          <t>内定</t>
        </is>
      </c>
      <c r="H31" s="4" t="inlineStr">
        <is>
          <t>承諾</t>
        </is>
      </c>
    </row>
    <row r="32">
      <c r="B32" s="13" t="inlineStr">
        <is>
          <t>NRT（成田）</t>
        </is>
      </c>
      <c r="C32" s="14">
        <f>COUNTIF(応募者データ!$C$3:$C$502,"NRT")</f>
        <v/>
      </c>
      <c r="D32" s="14">
        <f>COUNTIFS(応募者データ!$C$3:$C$502,"NRT",応募者データ!$I$3:$I$502,"通過")</f>
        <v/>
      </c>
      <c r="E32" s="14">
        <f>COUNTIFS(応募者データ!$C$3:$C$502,"NRT",応募者データ!$K$3:$K$502,"面接調整中")+COUNTIFS(応募者データ!$C$3:$C$502,"NRT",応募者データ!$K$3:$K$502,"面接日確定")+COUNTIFS(応募者データ!$C$3:$C$502,"NRT",応募者データ!$K$3:$K$502,"面接実施済み")</f>
        <v/>
      </c>
      <c r="F32" s="14">
        <f>COUNTIFS(応募者データ!$C$3:$C$502,"NRT",応募者データ!$K$3:$K$502,"面接実施済み")</f>
        <v/>
      </c>
      <c r="G32" s="14">
        <f>COUNTIFS(応募者データ!$C$3:$C$502,"NRT",応募者データ!$M$3:$M$502,"採用")+COUNTIFS(応募者データ!$C$3:$C$502,"NRT",応募者データ!$M$3:$M$502,"入社予定")+COUNTIFS(応募者データ!$C$3:$C$502,"NRT",応募者データ!$M$3:$M$502,"採用辞退")+COUNTIFS(応募者データ!$C$3:$C$502,"NRT",応募者データ!$M$3:$M$502,"入社辞退")</f>
        <v/>
      </c>
      <c r="H32" s="14">
        <f>COUNTIFS(応募者データ!$C$3:$C$502,"NRT",応募者データ!$M$3:$M$502,"採用")+COUNTIFS(応募者データ!$C$3:$C$502,"NRT",応募者データ!$M$3:$M$502,"入社予定")</f>
        <v/>
      </c>
    </row>
    <row r="33">
      <c r="B33" s="13" t="inlineStr">
        <is>
          <t>CTS（千歳）</t>
        </is>
      </c>
      <c r="C33" s="14">
        <f>COUNTIF(応募者データ!$C$3:$C$502,"CTS")</f>
        <v/>
      </c>
      <c r="D33" s="14">
        <f>COUNTIFS(応募者データ!$C$3:$C$502,"CTS",応募者データ!$I$3:$I$502,"通過")</f>
        <v/>
      </c>
      <c r="E33" s="14">
        <f>COUNTIFS(応募者データ!$C$3:$C$502,"CTS",応募者データ!$K$3:$K$502,"面接調整中")+COUNTIFS(応募者データ!$C$3:$C$502,"CTS",応募者データ!$K$3:$K$502,"面接日確定")+COUNTIFS(応募者データ!$C$3:$C$502,"CTS",応募者データ!$K$3:$K$502,"面接実施済み")</f>
        <v/>
      </c>
      <c r="F33" s="14">
        <f>COUNTIFS(応募者データ!$C$3:$C$502,"CTS",応募者データ!$K$3:$K$502,"面接実施済み")</f>
        <v/>
      </c>
      <c r="G33" s="14">
        <f>COUNTIFS(応募者データ!$C$3:$C$502,"CTS",応募者データ!$M$3:$M$502,"採用")+COUNTIFS(応募者データ!$C$3:$C$502,"CTS",応募者データ!$M$3:$M$502,"入社予定")+COUNTIFS(応募者データ!$C$3:$C$502,"CTS",応募者データ!$M$3:$M$502,"採用辞退")+COUNTIFS(応募者データ!$C$3:$C$502,"CTS",応募者データ!$M$3:$M$502,"入社辞退")</f>
        <v/>
      </c>
      <c r="H33" s="14">
        <f>COUNTIFS(応募者データ!$C$3:$C$502,"CTS",応募者データ!$M$3:$M$502,"採用")+COUNTIFS(応募者データ!$C$3:$C$502,"CTS",応募者データ!$M$3:$M$502,"入社予定")</f>
        <v/>
      </c>
    </row>
    <row r="35">
      <c r="B35" s="19" t="inlineStr">
        <is>
          <t>◆ 凡例・定義</t>
        </is>
      </c>
    </row>
    <row r="36">
      <c r="B36" s="20" t="inlineStr">
        <is>
          <t>・黄色セル＝入力（目標値）。運用開始時に目標を設定してください（現在は仮値）。</t>
        </is>
      </c>
    </row>
    <row r="37">
      <c r="B37" s="20" t="inlineStr">
        <is>
          <t>・実績は［応募者データ］シートから自動集計。担当者は毎日そこを更新するだけです。</t>
        </is>
      </c>
    </row>
    <row r="38">
      <c r="B38" s="20" t="inlineStr">
        <is>
          <t>・前日／前日比は［日次レポート］の最終記録行との差分。毎日EODに1行追記してください。</t>
        </is>
      </c>
    </row>
    <row r="39">
      <c r="B39" s="20" t="inlineStr">
        <is>
          <t>・面接設定＝面接ステータスが「面接調整中／面接日確定／面接実施済み」。面接実施＝「面接実施済み」。</t>
        </is>
      </c>
    </row>
    <row r="40">
      <c r="B40" s="20" t="inlineStr">
        <is>
          <t>・内定＝採用が「採用／入社予定／採用辞退／入社辞退」。承諾＝「採用／入社予定」。</t>
        </is>
      </c>
    </row>
  </sheetData>
  <mergeCells count="17">
    <mergeCell ref="B36:H36"/>
    <mergeCell ref="D18:G18"/>
    <mergeCell ref="D17:G17"/>
    <mergeCell ref="B40:H40"/>
    <mergeCell ref="B1:H1"/>
    <mergeCell ref="B13:H13"/>
    <mergeCell ref="B35:H35"/>
    <mergeCell ref="B4:H4"/>
    <mergeCell ref="D16:G16"/>
    <mergeCell ref="B39:H39"/>
    <mergeCell ref="B30:H30"/>
    <mergeCell ref="B2:H2"/>
    <mergeCell ref="D15:G15"/>
    <mergeCell ref="D19:G19"/>
    <mergeCell ref="B38:H38"/>
    <mergeCell ref="B20:H20"/>
    <mergeCell ref="B37:H37"/>
  </mergeCells>
  <conditionalFormatting sqref="E6:E11">
    <cfRule type="cellIs" priority="1" operator="greaterThanOrEqual" dxfId="0">
      <formula>1</formula>
    </cfRule>
    <cfRule type="cellIs" priority="2" operator="between" dxfId="1">
      <formula>0.7</formula>
      <formula>0.9999</formula>
    </cfRule>
    <cfRule type="cellIs" priority="3" operator="lessThan" dxfId="2">
      <formula>0.7</formula>
    </cfRule>
  </conditionalFormatting>
  <conditionalFormatting sqref="G6:G11">
    <cfRule type="cellIs" priority="4" operator="greaterThan" dxfId="0">
      <formula>0</formula>
    </cfRule>
    <cfRule type="cellIs" priority="5" operator="lessThan" dxfId="3">
      <formula>0</formula>
    </cfRule>
  </conditionalFormatting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6" customWidth="1" min="6" max="6"/>
    <col width="12" customWidth="1" min="7" max="7"/>
    <col width="16" customWidth="1" min="8" max="8"/>
    <col width="12" customWidth="1" min="9" max="9"/>
  </cols>
  <sheetData>
    <row r="1">
      <c r="A1" s="21" t="inlineStr">
        <is>
          <t>マスタ（プルダウン用リスト）</t>
        </is>
      </c>
    </row>
    <row r="2">
      <c r="A2" s="22" t="inlineStr">
        <is>
          <t>媒体</t>
        </is>
      </c>
      <c r="B2" s="22" t="inlineStr">
        <is>
          <t>基地</t>
        </is>
      </c>
      <c r="C2" s="22" t="inlineStr">
        <is>
          <t>性別</t>
        </is>
      </c>
      <c r="D2" s="22" t="inlineStr">
        <is>
          <t>国籍</t>
        </is>
      </c>
      <c r="E2" s="22" t="inlineStr">
        <is>
          <t>書類選考</t>
        </is>
      </c>
      <c r="F2" s="22" t="inlineStr">
        <is>
          <t>書類NG理由</t>
        </is>
      </c>
      <c r="G2" s="22" t="inlineStr">
        <is>
          <t>面接</t>
        </is>
      </c>
      <c r="H2" s="22" t="inlineStr">
        <is>
          <t>面接NG理由</t>
        </is>
      </c>
      <c r="I2" s="22" t="inlineStr">
        <is>
          <t>採用</t>
        </is>
      </c>
    </row>
    <row r="3">
      <c r="A3" s="23" t="inlineStr">
        <is>
          <t>バイトル</t>
        </is>
      </c>
      <c r="B3" s="23" t="inlineStr">
        <is>
          <t>NRT</t>
        </is>
      </c>
      <c r="C3" s="23" t="inlineStr">
        <is>
          <t>男</t>
        </is>
      </c>
      <c r="D3" s="23" t="inlineStr">
        <is>
          <t>日本</t>
        </is>
      </c>
      <c r="E3" s="23" t="inlineStr">
        <is>
          <t>未対応</t>
        </is>
      </c>
      <c r="F3" s="23" t="inlineStr">
        <is>
          <t>年齢</t>
        </is>
      </c>
      <c r="G3" s="23" t="inlineStr">
        <is>
          <t>未設定</t>
        </is>
      </c>
      <c r="H3" s="23" t="inlineStr">
        <is>
          <t>勤務条件不一致</t>
        </is>
      </c>
      <c r="I3" s="23" t="inlineStr">
        <is>
          <t>選考中</t>
        </is>
      </c>
    </row>
    <row r="4">
      <c r="A4" s="23" t="inlineStr">
        <is>
          <t>マイナビバイト</t>
        </is>
      </c>
      <c r="B4" s="23" t="inlineStr">
        <is>
          <t>CTS</t>
        </is>
      </c>
      <c r="C4" s="23" t="inlineStr">
        <is>
          <t>女</t>
        </is>
      </c>
      <c r="D4" s="23" t="inlineStr">
        <is>
          <t>外国籍</t>
        </is>
      </c>
      <c r="E4" s="23" t="inlineStr">
        <is>
          <t>確認中</t>
        </is>
      </c>
      <c r="F4" s="23" t="inlineStr">
        <is>
          <t>通勤距離</t>
        </is>
      </c>
      <c r="G4" s="23" t="inlineStr">
        <is>
          <t>面接調整中</t>
        </is>
      </c>
      <c r="H4" s="23" t="inlineStr">
        <is>
          <t>シフト条件不一致</t>
        </is>
      </c>
      <c r="I4" s="23" t="inlineStr">
        <is>
          <t>採用</t>
        </is>
      </c>
    </row>
    <row r="5">
      <c r="A5" s="23" t="inlineStr">
        <is>
          <t>ちゃんと</t>
        </is>
      </c>
      <c r="E5" s="23" t="inlineStr">
        <is>
          <t>通過</t>
        </is>
      </c>
      <c r="F5" s="23" t="inlineStr">
        <is>
          <t>国籍</t>
        </is>
      </c>
      <c r="G5" s="23" t="inlineStr">
        <is>
          <t>面接日確定</t>
        </is>
      </c>
      <c r="H5" s="23" t="inlineStr">
        <is>
          <t>経験不足</t>
        </is>
      </c>
      <c r="I5" s="23" t="inlineStr">
        <is>
          <t>不採用</t>
        </is>
      </c>
    </row>
    <row r="6">
      <c r="A6" s="23" t="inlineStr">
        <is>
          <t>社員紹介</t>
        </is>
      </c>
      <c r="E6" s="23" t="inlineStr">
        <is>
          <t>保留</t>
        </is>
      </c>
      <c r="F6" s="23" t="inlineStr">
        <is>
          <t>日本語力</t>
        </is>
      </c>
      <c r="G6" s="23" t="inlineStr">
        <is>
          <t>面接実施済み</t>
        </is>
      </c>
      <c r="H6" s="23" t="inlineStr">
        <is>
          <t>接客適性</t>
        </is>
      </c>
      <c r="I6" s="23" t="inlineStr">
        <is>
          <t>採用辞退</t>
        </is>
      </c>
    </row>
    <row r="7">
      <c r="A7" s="23" t="inlineStr">
        <is>
          <t>HP</t>
        </is>
      </c>
      <c r="E7" s="23" t="inlineStr">
        <is>
          <t>不通過</t>
        </is>
      </c>
      <c r="F7" s="23" t="inlineStr">
        <is>
          <t>英語力</t>
        </is>
      </c>
      <c r="H7" s="23" t="inlineStr">
        <is>
          <t>コミュニケーション</t>
        </is>
      </c>
      <c r="I7" s="23" t="inlineStr">
        <is>
          <t>入社予定</t>
        </is>
      </c>
    </row>
    <row r="8">
      <c r="A8" s="23" t="inlineStr">
        <is>
          <t>その他</t>
        </is>
      </c>
      <c r="E8" s="23" t="inlineStr">
        <is>
          <t>辞退</t>
        </is>
      </c>
      <c r="F8" s="23" t="inlineStr">
        <is>
          <t>勤務時間不一致</t>
        </is>
      </c>
      <c r="H8" s="23" t="inlineStr">
        <is>
          <t>日本語力</t>
        </is>
      </c>
      <c r="I8" s="23" t="inlineStr">
        <is>
          <t>入社辞退</t>
        </is>
      </c>
    </row>
    <row r="9">
      <c r="E9" s="23" t="inlineStr">
        <is>
          <t>連絡不通</t>
        </is>
      </c>
      <c r="F9" s="23" t="inlineStr">
        <is>
          <t>その他</t>
        </is>
      </c>
      <c r="H9" s="23" t="inlineStr">
        <is>
          <t>英語力</t>
        </is>
      </c>
      <c r="I9" s="23" t="inlineStr">
        <is>
          <t>保留</t>
        </is>
      </c>
    </row>
    <row r="10">
      <c r="H10" s="23" t="inlineStr">
        <is>
          <t>航空保安上の要件</t>
        </is>
      </c>
    </row>
    <row r="11">
      <c r="H11" s="23" t="inlineStr">
        <is>
          <t>通勤困難</t>
        </is>
      </c>
    </row>
    <row r="12">
      <c r="H12" s="23" t="inlineStr">
        <is>
          <t>給与条件不一致</t>
        </is>
      </c>
    </row>
    <row r="13">
      <c r="H13" s="23" t="inlineStr">
        <is>
          <t>入社可能時期が合わない</t>
        </is>
      </c>
    </row>
    <row r="14">
      <c r="H14" s="23" t="inlineStr">
        <is>
          <t>他社内定</t>
        </is>
      </c>
    </row>
    <row r="15">
      <c r="H15" s="23" t="inlineStr">
        <is>
          <t>本人辞退</t>
        </is>
      </c>
    </row>
    <row r="16">
      <c r="H16" s="23" t="inlineStr">
        <is>
          <t>総合判断</t>
        </is>
      </c>
    </row>
    <row r="17">
      <c r="H17" s="23" t="inlineStr">
        <is>
          <t>その他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13" customWidth="1" min="2" max="2"/>
    <col width="7" customWidth="1" min="3" max="3"/>
    <col width="11" customWidth="1" min="4" max="4"/>
    <col width="16" customWidth="1" min="5" max="5"/>
    <col width="6" customWidth="1" min="6" max="6"/>
    <col width="6" customWidth="1" min="7" max="7"/>
    <col width="8" customWidth="1" min="8" max="8"/>
    <col width="10" customWidth="1" min="9" max="9"/>
    <col width="12" customWidth="1" min="10" max="10"/>
    <col width="12" customWidth="1" min="11" max="11"/>
    <col width="14" customWidth="1" min="12" max="12"/>
    <col width="10" customWidth="1" min="13" max="13"/>
    <col width="26" customWidth="1" min="14" max="14"/>
  </cols>
  <sheetData>
    <row r="1" ht="24" customHeight="1">
      <c r="A1" s="24" t="inlineStr">
        <is>
          <t>応募者データ（明細）　― 毎日ここを更新してください。ダッシュボードは自動集計されます ―</t>
        </is>
      </c>
    </row>
    <row r="2">
      <c r="A2" s="18" t="inlineStr">
        <is>
          <t>No.</t>
        </is>
      </c>
      <c r="B2" s="18" t="inlineStr">
        <is>
          <t>媒体</t>
        </is>
      </c>
      <c r="C2" s="18" t="inlineStr">
        <is>
          <t>基地</t>
        </is>
      </c>
      <c r="D2" s="18" t="inlineStr">
        <is>
          <t>応募日</t>
        </is>
      </c>
      <c r="E2" s="18" t="inlineStr">
        <is>
          <t>氏名</t>
        </is>
      </c>
      <c r="F2" s="18" t="inlineStr">
        <is>
          <t>年齢</t>
        </is>
      </c>
      <c r="G2" s="18" t="inlineStr">
        <is>
          <t>性別</t>
        </is>
      </c>
      <c r="H2" s="18" t="inlineStr">
        <is>
          <t>国籍</t>
        </is>
      </c>
      <c r="I2" s="18" t="inlineStr">
        <is>
          <t>書類選考</t>
        </is>
      </c>
      <c r="J2" s="18" t="inlineStr">
        <is>
          <t>書類NG理由</t>
        </is>
      </c>
      <c r="K2" s="18" t="inlineStr">
        <is>
          <t>面接</t>
        </is>
      </c>
      <c r="L2" s="18" t="inlineStr">
        <is>
          <t>面接NG理由</t>
        </is>
      </c>
      <c r="M2" s="18" t="inlineStr">
        <is>
          <t>採用</t>
        </is>
      </c>
      <c r="N2" s="18" t="inlineStr">
        <is>
          <t>備考</t>
        </is>
      </c>
    </row>
    <row r="3">
      <c r="A3" s="14" t="n">
        <v>1</v>
      </c>
      <c r="B3" s="14" t="inlineStr">
        <is>
          <t>バイトル</t>
        </is>
      </c>
      <c r="C3" s="14" t="inlineStr">
        <is>
          <t>NRT</t>
        </is>
      </c>
      <c r="D3" s="25" t="n">
        <v>46227</v>
      </c>
      <c r="E3" s="23" t="inlineStr">
        <is>
          <t>日高 秀光</t>
        </is>
      </c>
      <c r="F3" s="14" t="n">
        <v>73</v>
      </c>
      <c r="G3" s="14" t="inlineStr">
        <is>
          <t>男</t>
        </is>
      </c>
      <c r="H3" s="14" t="inlineStr">
        <is>
          <t>日本</t>
        </is>
      </c>
      <c r="I3" s="14" t="inlineStr">
        <is>
          <t>不通過</t>
        </is>
      </c>
      <c r="J3" s="23" t="inlineStr">
        <is>
          <t>年齢</t>
        </is>
      </c>
      <c r="K3" s="14" t="inlineStr">
        <is>
          <t>未設定</t>
        </is>
      </c>
      <c r="L3" s="23" t="n"/>
      <c r="M3" s="14" t="inlineStr">
        <is>
          <t>不採用</t>
        </is>
      </c>
      <c r="N3" s="23" t="n"/>
    </row>
    <row r="4">
      <c r="A4" s="14" t="n">
        <v>2</v>
      </c>
      <c r="B4" s="14" t="inlineStr">
        <is>
          <t>バイトル</t>
        </is>
      </c>
      <c r="C4" s="14" t="inlineStr">
        <is>
          <t>NRT</t>
        </is>
      </c>
      <c r="D4" s="25" t="n">
        <v>46230</v>
      </c>
      <c r="E4" s="23" t="inlineStr">
        <is>
          <t>浅利 真弓</t>
        </is>
      </c>
      <c r="F4" s="14" t="n">
        <v>63</v>
      </c>
      <c r="G4" s="14" t="inlineStr">
        <is>
          <t>女</t>
        </is>
      </c>
      <c r="H4" s="14" t="inlineStr">
        <is>
          <t>日本</t>
        </is>
      </c>
      <c r="I4" s="14" t="inlineStr">
        <is>
          <t>不通過</t>
        </is>
      </c>
      <c r="J4" s="23" t="inlineStr">
        <is>
          <t>年齢</t>
        </is>
      </c>
      <c r="K4" s="14" t="inlineStr">
        <is>
          <t>未設定</t>
        </is>
      </c>
      <c r="L4" s="23" t="n"/>
      <c r="M4" s="14" t="inlineStr">
        <is>
          <t>不採用</t>
        </is>
      </c>
      <c r="N4" s="23" t="n"/>
    </row>
    <row r="5">
      <c r="A5" s="14" t="n">
        <v>3</v>
      </c>
      <c r="B5" s="14" t="inlineStr">
        <is>
          <t>バイトル</t>
        </is>
      </c>
      <c r="C5" s="14" t="inlineStr">
        <is>
          <t>NRT</t>
        </is>
      </c>
      <c r="D5" s="25" t="n">
        <v>46231</v>
      </c>
      <c r="E5" s="23" t="inlineStr">
        <is>
          <t>浅木 洋二</t>
        </is>
      </c>
      <c r="F5" s="14" t="n">
        <v>76</v>
      </c>
      <c r="G5" s="14" t="inlineStr">
        <is>
          <t>男</t>
        </is>
      </c>
      <c r="H5" s="14" t="inlineStr">
        <is>
          <t>日本</t>
        </is>
      </c>
      <c r="I5" s="14" t="inlineStr">
        <is>
          <t>不通過</t>
        </is>
      </c>
      <c r="J5" s="23" t="inlineStr">
        <is>
          <t>年齢</t>
        </is>
      </c>
      <c r="K5" s="14" t="inlineStr">
        <is>
          <t>未設定</t>
        </is>
      </c>
      <c r="L5" s="23" t="n"/>
      <c r="M5" s="14" t="inlineStr">
        <is>
          <t>不採用</t>
        </is>
      </c>
      <c r="N5" s="23" t="n"/>
    </row>
    <row r="6">
      <c r="A6" s="14" t="n">
        <v>4</v>
      </c>
      <c r="B6" s="14" t="inlineStr">
        <is>
          <t>バイトル</t>
        </is>
      </c>
      <c r="C6" s="14" t="inlineStr">
        <is>
          <t>NRT</t>
        </is>
      </c>
      <c r="D6" s="25" t="n">
        <v>46231</v>
      </c>
      <c r="E6" s="23" t="inlineStr">
        <is>
          <t>佐伯 幸男</t>
        </is>
      </c>
      <c r="F6" s="14" t="n">
        <v>55</v>
      </c>
      <c r="G6" s="14" t="inlineStr">
        <is>
          <t>男</t>
        </is>
      </c>
      <c r="H6" s="14" t="inlineStr">
        <is>
          <t>日本</t>
        </is>
      </c>
      <c r="I6" s="14" t="inlineStr">
        <is>
          <t>不通過</t>
        </is>
      </c>
      <c r="J6" s="23" t="inlineStr">
        <is>
          <t>年齢</t>
        </is>
      </c>
      <c r="K6" s="14" t="inlineStr">
        <is>
          <t>未設定</t>
        </is>
      </c>
      <c r="L6" s="23" t="n"/>
      <c r="M6" s="14" t="inlineStr">
        <is>
          <t>不採用</t>
        </is>
      </c>
      <c r="N6" s="23" t="n"/>
    </row>
    <row r="7">
      <c r="A7" s="14" t="n">
        <v>5</v>
      </c>
      <c r="B7" s="14" t="inlineStr">
        <is>
          <t>バイトル</t>
        </is>
      </c>
      <c r="C7" s="14" t="inlineStr">
        <is>
          <t>NRT</t>
        </is>
      </c>
      <c r="D7" s="25" t="n">
        <v>46232</v>
      </c>
      <c r="E7" s="23" t="inlineStr">
        <is>
          <t>町田 侑里夏</t>
        </is>
      </c>
      <c r="F7" s="14" t="n">
        <v>21</v>
      </c>
      <c r="G7" s="14" t="inlineStr">
        <is>
          <t>女</t>
        </is>
      </c>
      <c r="H7" s="14" t="inlineStr">
        <is>
          <t>日本</t>
        </is>
      </c>
      <c r="I7" s="14" t="inlineStr">
        <is>
          <t>通過</t>
        </is>
      </c>
      <c r="J7" s="23" t="n"/>
      <c r="K7" s="14" t="inlineStr">
        <is>
          <t>面接調整中</t>
        </is>
      </c>
      <c r="L7" s="23" t="n"/>
      <c r="M7" s="14" t="inlineStr">
        <is>
          <t>選考中</t>
        </is>
      </c>
      <c r="N7" s="23" t="n"/>
    </row>
    <row r="8">
      <c r="A8" s="14" t="n">
        <v>6</v>
      </c>
      <c r="B8" s="14" t="inlineStr">
        <is>
          <t>バイトル</t>
        </is>
      </c>
      <c r="C8" s="14" t="inlineStr">
        <is>
          <t>NRT</t>
        </is>
      </c>
      <c r="D8" s="25" t="n">
        <v>46233</v>
      </c>
      <c r="E8" s="23" t="inlineStr">
        <is>
          <t>三木 祐樹</t>
        </is>
      </c>
      <c r="F8" s="14" t="n">
        <v>38</v>
      </c>
      <c r="G8" s="14" t="inlineStr">
        <is>
          <t>男</t>
        </is>
      </c>
      <c r="H8" s="14" t="inlineStr">
        <is>
          <t>日本</t>
        </is>
      </c>
      <c r="I8" s="14" t="inlineStr">
        <is>
          <t>不通過</t>
        </is>
      </c>
      <c r="J8" s="23" t="inlineStr">
        <is>
          <t>年齢</t>
        </is>
      </c>
      <c r="K8" s="14" t="inlineStr">
        <is>
          <t>未設定</t>
        </is>
      </c>
      <c r="L8" s="23" t="n"/>
      <c r="M8" s="14" t="inlineStr">
        <is>
          <t>不採用</t>
        </is>
      </c>
      <c r="N8" s="23" t="n"/>
    </row>
    <row r="9">
      <c r="A9" s="14" t="n">
        <v>7</v>
      </c>
      <c r="B9" s="14" t="inlineStr">
        <is>
          <t>バイトル</t>
        </is>
      </c>
      <c r="C9" s="14" t="inlineStr">
        <is>
          <t>NRT</t>
        </is>
      </c>
      <c r="D9" s="25" t="n">
        <v>46233</v>
      </c>
      <c r="E9" s="23" t="inlineStr">
        <is>
          <t>金澤 拓也</t>
        </is>
      </c>
      <c r="F9" s="14" t="n">
        <v>19</v>
      </c>
      <c r="G9" s="14" t="inlineStr">
        <is>
          <t>男</t>
        </is>
      </c>
      <c r="H9" s="14" t="inlineStr">
        <is>
          <t>日本</t>
        </is>
      </c>
      <c r="I9" s="14" t="inlineStr">
        <is>
          <t>通過</t>
        </is>
      </c>
      <c r="J9" s="23" t="n"/>
      <c r="K9" s="14" t="inlineStr">
        <is>
          <t>面接調整中</t>
        </is>
      </c>
      <c r="L9" s="23" t="n"/>
      <c r="M9" s="14" t="inlineStr">
        <is>
          <t>選考中</t>
        </is>
      </c>
      <c r="N9" s="23" t="n"/>
    </row>
    <row r="10">
      <c r="A10" s="14" t="n">
        <v>8</v>
      </c>
      <c r="B10" s="14" t="inlineStr">
        <is>
          <t>バイトル</t>
        </is>
      </c>
      <c r="C10" s="14" t="inlineStr">
        <is>
          <t>NRT</t>
        </is>
      </c>
      <c r="D10" s="25" t="n">
        <v>46233</v>
      </c>
      <c r="E10" s="23" t="inlineStr">
        <is>
          <t>NGUYEN NGOC DINH</t>
        </is>
      </c>
      <c r="F10" s="14" t="n">
        <v>25</v>
      </c>
      <c r="G10" s="14" t="inlineStr">
        <is>
          <t>男</t>
        </is>
      </c>
      <c r="H10" s="14" t="inlineStr">
        <is>
          <t>外国籍</t>
        </is>
      </c>
      <c r="I10" s="14" t="inlineStr">
        <is>
          <t>不通過</t>
        </is>
      </c>
      <c r="J10" s="23" t="inlineStr">
        <is>
          <t>日本語力</t>
        </is>
      </c>
      <c r="K10" s="14" t="inlineStr">
        <is>
          <t>未設定</t>
        </is>
      </c>
      <c r="L10" s="23" t="n"/>
      <c r="M10" s="14" t="inlineStr">
        <is>
          <t>不採用</t>
        </is>
      </c>
      <c r="N10" s="23" t="inlineStr">
        <is>
          <t>N3</t>
        </is>
      </c>
    </row>
    <row r="11">
      <c r="A11" s="14" t="n">
        <v>9</v>
      </c>
      <c r="B11" s="14" t="inlineStr">
        <is>
          <t>バイトル</t>
        </is>
      </c>
      <c r="C11" s="14" t="inlineStr">
        <is>
          <t>NRT</t>
        </is>
      </c>
      <c r="D11" s="25" t="n">
        <v>46236</v>
      </c>
      <c r="E11" s="23" t="inlineStr">
        <is>
          <t>Hashini Navodya</t>
        </is>
      </c>
      <c r="F11" s="14" t="n">
        <v>21</v>
      </c>
      <c r="G11" s="14" t="inlineStr">
        <is>
          <t>女</t>
        </is>
      </c>
      <c r="H11" s="14" t="inlineStr">
        <is>
          <t>外国籍</t>
        </is>
      </c>
      <c r="I11" s="14" t="inlineStr">
        <is>
          <t>確認中</t>
        </is>
      </c>
      <c r="J11" s="23" t="n"/>
      <c r="K11" s="14" t="inlineStr">
        <is>
          <t>未設定</t>
        </is>
      </c>
      <c r="L11" s="23" t="n"/>
      <c r="M11" s="14" t="inlineStr">
        <is>
          <t>選考中</t>
        </is>
      </c>
      <c r="N11" s="23" t="n"/>
    </row>
    <row r="12">
      <c r="A12" s="14" t="n">
        <v>10</v>
      </c>
      <c r="B12" s="14" t="inlineStr">
        <is>
          <t>バイトル</t>
        </is>
      </c>
      <c r="C12" s="14" t="inlineStr">
        <is>
          <t>NRT</t>
        </is>
      </c>
      <c r="D12" s="25" t="n">
        <v>46236</v>
      </c>
      <c r="E12" s="23" t="inlineStr">
        <is>
          <t>JARGALBAYAR ENKHBAYAN</t>
        </is>
      </c>
      <c r="F12" s="14" t="n">
        <v>21</v>
      </c>
      <c r="G12" s="14" t="inlineStr">
        <is>
          <t>男</t>
        </is>
      </c>
      <c r="H12" s="14" t="inlineStr">
        <is>
          <t>外国籍</t>
        </is>
      </c>
      <c r="I12" s="14" t="inlineStr">
        <is>
          <t>確認中</t>
        </is>
      </c>
      <c r="J12" s="23" t="n"/>
      <c r="K12" s="14" t="inlineStr">
        <is>
          <t>未設定</t>
        </is>
      </c>
      <c r="L12" s="23" t="n"/>
      <c r="M12" s="14" t="inlineStr">
        <is>
          <t>選考中</t>
        </is>
      </c>
      <c r="N12" s="23" t="n"/>
    </row>
    <row r="13">
      <c r="A13" s="14" t="n">
        <v>11</v>
      </c>
      <c r="B13" s="14" t="inlineStr">
        <is>
          <t>バイトル</t>
        </is>
      </c>
      <c r="C13" s="14" t="inlineStr">
        <is>
          <t>NRT</t>
        </is>
      </c>
      <c r="D13" s="25" t="n">
        <v>46237</v>
      </c>
      <c r="E13" s="23" t="inlineStr">
        <is>
          <t>坂本 隼斗</t>
        </is>
      </c>
      <c r="F13" s="14" t="n">
        <v>24</v>
      </c>
      <c r="G13" s="14" t="inlineStr">
        <is>
          <t>男</t>
        </is>
      </c>
      <c r="H13" s="14" t="inlineStr">
        <is>
          <t>日本</t>
        </is>
      </c>
      <c r="I13" s="14" t="inlineStr">
        <is>
          <t>確認中</t>
        </is>
      </c>
      <c r="J13" s="23" t="n"/>
      <c r="K13" s="14" t="inlineStr">
        <is>
          <t>未設定</t>
        </is>
      </c>
      <c r="L13" s="23" t="n"/>
      <c r="M13" s="14" t="inlineStr">
        <is>
          <t>選考中</t>
        </is>
      </c>
      <c r="N13" s="23" t="n"/>
    </row>
    <row r="14">
      <c r="A14" s="14" t="n">
        <v>12</v>
      </c>
      <c r="B14" s="14" t="inlineStr">
        <is>
          <t>バイトル</t>
        </is>
      </c>
      <c r="C14" s="14" t="inlineStr">
        <is>
          <t>CTS</t>
        </is>
      </c>
      <c r="D14" s="25" t="n">
        <v>46236</v>
      </c>
      <c r="E14" s="23" t="inlineStr">
        <is>
          <t>Hashini Navodya</t>
        </is>
      </c>
      <c r="F14" s="14" t="n">
        <v>21</v>
      </c>
      <c r="G14" s="14" t="inlineStr">
        <is>
          <t>女</t>
        </is>
      </c>
      <c r="H14" s="14" t="inlineStr">
        <is>
          <t>外国籍</t>
        </is>
      </c>
      <c r="I14" s="14" t="inlineStr">
        <is>
          <t>確認中</t>
        </is>
      </c>
      <c r="J14" s="23" t="n"/>
      <c r="K14" s="14" t="inlineStr">
        <is>
          <t>未設定</t>
        </is>
      </c>
      <c r="L14" s="23" t="n"/>
      <c r="M14" s="14" t="inlineStr">
        <is>
          <t>選考中</t>
        </is>
      </c>
      <c r="N14" s="23" t="n"/>
    </row>
    <row r="15">
      <c r="A15" s="14" t="n">
        <v>13</v>
      </c>
      <c r="B15" s="14" t="inlineStr">
        <is>
          <t>マイナビバイト</t>
        </is>
      </c>
      <c r="C15" s="14" t="inlineStr">
        <is>
          <t>CTS</t>
        </is>
      </c>
      <c r="D15" s="25" t="n">
        <v>46233</v>
      </c>
      <c r="E15" s="23" t="inlineStr">
        <is>
          <t>竹内 愛</t>
        </is>
      </c>
      <c r="F15" s="14" t="n">
        <v>33</v>
      </c>
      <c r="G15" s="14" t="inlineStr">
        <is>
          <t>女</t>
        </is>
      </c>
      <c r="H15" s="14" t="inlineStr">
        <is>
          <t>日本</t>
        </is>
      </c>
      <c r="I15" s="14" t="inlineStr">
        <is>
          <t>確認中</t>
        </is>
      </c>
      <c r="J15" s="23" t="n"/>
      <c r="K15" s="14" t="inlineStr">
        <is>
          <t>未設定</t>
        </is>
      </c>
      <c r="L15" s="23" t="n"/>
      <c r="M15" s="14" t="inlineStr">
        <is>
          <t>選考中</t>
        </is>
      </c>
      <c r="N15" s="23" t="n"/>
    </row>
    <row r="16">
      <c r="A16" s="14" t="n">
        <v>14</v>
      </c>
      <c r="B16" s="14" t="inlineStr">
        <is>
          <t>マイナビバイト</t>
        </is>
      </c>
      <c r="C16" s="14" t="inlineStr">
        <is>
          <t>CTS</t>
        </is>
      </c>
      <c r="D16" s="25" t="n">
        <v>46233</v>
      </c>
      <c r="E16" s="23" t="inlineStr">
        <is>
          <t>高砂 琴音</t>
        </is>
      </c>
      <c r="F16" s="14" t="n">
        <v>18</v>
      </c>
      <c r="G16" s="14" t="inlineStr">
        <is>
          <t>女</t>
        </is>
      </c>
      <c r="H16" s="14" t="inlineStr">
        <is>
          <t>日本</t>
        </is>
      </c>
      <c r="I16" s="14" t="inlineStr">
        <is>
          <t>確認中</t>
        </is>
      </c>
      <c r="J16" s="23" t="n"/>
      <c r="K16" s="14" t="inlineStr">
        <is>
          <t>未設定</t>
        </is>
      </c>
      <c r="L16" s="23" t="n"/>
      <c r="M16" s="14" t="inlineStr">
        <is>
          <t>選考中</t>
        </is>
      </c>
      <c r="N16" s="23" t="inlineStr">
        <is>
          <t>高校生だが外航のGATE経験者の可能性あり</t>
        </is>
      </c>
    </row>
  </sheetData>
  <mergeCells count="1">
    <mergeCell ref="A1:N1"/>
  </mergeCells>
  <dataValidations count="9">
    <dataValidation sqref="B3:B502" showDropDown="0" showInputMessage="0" showErrorMessage="0" allowBlank="1" type="list">
      <formula1>=マスタ!$A$3:$A$8</formula1>
    </dataValidation>
    <dataValidation sqref="C3:C502" showDropDown="0" showInputMessage="0" showErrorMessage="0" allowBlank="1" type="list">
      <formula1>=マスタ!$B$3:$B$4</formula1>
    </dataValidation>
    <dataValidation sqref="G3:G502" showDropDown="0" showInputMessage="0" showErrorMessage="0" allowBlank="1" type="list">
      <formula1>=マスタ!$C$3:$C$4</formula1>
    </dataValidation>
    <dataValidation sqref="H3:H502" showDropDown="0" showInputMessage="0" showErrorMessage="0" allowBlank="1" type="list">
      <formula1>=マスタ!$D$3:$D$4</formula1>
    </dataValidation>
    <dataValidation sqref="I3:I502" showDropDown="0" showInputMessage="0" showErrorMessage="0" allowBlank="1" type="list">
      <formula1>=マスタ!$E$3:$E$9</formula1>
    </dataValidation>
    <dataValidation sqref="J3:J502" showDropDown="0" showInputMessage="0" showErrorMessage="0" allowBlank="1" type="list">
      <formula1>=マスタ!$F$3:$F$9</formula1>
    </dataValidation>
    <dataValidation sqref="K3:K502" showDropDown="0" showInputMessage="0" showErrorMessage="0" allowBlank="1" type="list">
      <formula1>=マスタ!$G$3:$G$6</formula1>
    </dataValidation>
    <dataValidation sqref="L3:L502" showDropDown="0" showInputMessage="0" showErrorMessage="0" allowBlank="1" type="list">
      <formula1>=マスタ!$H$3:$H$17</formula1>
    </dataValidation>
    <dataValidation sqref="M3:M502" showDropDown="0" showInputMessage="0" showErrorMessage="0" allowBlank="1" type="list">
      <formula1>=マスタ!$I$3:$I$9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2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3" customWidth="1" min="1" max="1"/>
    <col width="9" customWidth="1" min="2" max="2"/>
    <col width="9" customWidth="1" min="3" max="3"/>
    <col width="9" customWidth="1" min="4" max="4"/>
    <col width="9" customWidth="1" min="5" max="5"/>
    <col width="7" customWidth="1" min="6" max="6"/>
    <col width="7" customWidth="1" min="7" max="7"/>
    <col width="12" customWidth="1" min="8" max="8"/>
    <col width="30" customWidth="1" min="9" max="9"/>
    <col width="14" customWidth="1" min="11" max="11"/>
    <col width="9" customWidth="1" min="12" max="12"/>
  </cols>
  <sheetData>
    <row r="1" ht="24" customHeight="1">
      <c r="A1" s="24" t="inlineStr">
        <is>
          <t>日次レポート（毎日 EOD に担当者が1行追記）</t>
        </is>
      </c>
    </row>
    <row r="2" ht="30" customHeight="1">
      <c r="A2" s="26" t="inlineStr">
        <is>
          <t>使い方：応募者データを更新後、当日の累計値を下表に1行追記します（右の「現在の累計値」を転記でOK）。ダッシュボードの前日比・推移グラフに自動反映されます。灰色の行はサンプルです。実データ入力時に削除してください。</t>
        </is>
      </c>
    </row>
    <row r="3">
      <c r="A3" s="18" t="inlineStr">
        <is>
          <t>日付</t>
        </is>
      </c>
      <c r="B3" s="18" t="inlineStr">
        <is>
          <t>応募数</t>
        </is>
      </c>
      <c r="C3" s="18" t="inlineStr">
        <is>
          <t>書類通過</t>
        </is>
      </c>
      <c r="D3" s="18" t="inlineStr">
        <is>
          <t>面接設定</t>
        </is>
      </c>
      <c r="E3" s="18" t="inlineStr">
        <is>
          <t>面接実施</t>
        </is>
      </c>
      <c r="F3" s="18" t="inlineStr">
        <is>
          <t>内定</t>
        </is>
      </c>
      <c r="G3" s="18" t="inlineStr">
        <is>
          <t>承諾</t>
        </is>
      </c>
      <c r="H3" s="18" t="inlineStr">
        <is>
          <t>担当者</t>
        </is>
      </c>
      <c r="I3" s="18" t="inlineStr">
        <is>
          <t>備考</t>
        </is>
      </c>
      <c r="K3" s="27" t="inlineStr">
        <is>
          <t>現在の累計値（自動）</t>
        </is>
      </c>
    </row>
    <row r="4">
      <c r="A4" s="28" t="n">
        <v>46234</v>
      </c>
      <c r="B4" s="29" t="n">
        <v>12</v>
      </c>
      <c r="C4" s="29" t="n">
        <v>1</v>
      </c>
      <c r="D4" s="29" t="n">
        <v>1</v>
      </c>
      <c r="E4" s="29" t="n">
        <v>0</v>
      </c>
      <c r="F4" s="29" t="n">
        <v>0</v>
      </c>
      <c r="G4" s="29" t="n">
        <v>0</v>
      </c>
      <c r="H4" s="30" t="inlineStr">
        <is>
          <t>（サンプル）</t>
        </is>
      </c>
      <c r="I4" s="30" t="inlineStr">
        <is>
          <t>← サンプル：削除して実データを入力</t>
        </is>
      </c>
      <c r="K4" s="31" t="inlineStr">
        <is>
          <t>応募数</t>
        </is>
      </c>
      <c r="L4" s="14">
        <f>COUNTA(応募者データ!$E$3:$E$502)</f>
        <v/>
      </c>
    </row>
    <row r="5">
      <c r="A5" s="28" t="n">
        <v>46235</v>
      </c>
      <c r="B5" s="29" t="n">
        <v>13</v>
      </c>
      <c r="C5" s="29" t="n">
        <v>2</v>
      </c>
      <c r="D5" s="29" t="n">
        <v>2</v>
      </c>
      <c r="E5" s="29" t="n">
        <v>0</v>
      </c>
      <c r="F5" s="29" t="n">
        <v>0</v>
      </c>
      <c r="G5" s="29" t="n">
        <v>0</v>
      </c>
      <c r="H5" s="30" t="inlineStr">
        <is>
          <t>（サンプル）</t>
        </is>
      </c>
      <c r="I5" s="30" t="inlineStr"/>
      <c r="K5" s="31" t="inlineStr">
        <is>
          <t>書類通過</t>
        </is>
      </c>
      <c r="L5" s="14">
        <f>COUNTIF(応募者データ!$I$3:$I$502,"通過")</f>
        <v/>
      </c>
    </row>
    <row r="6">
      <c r="A6" s="28" t="n">
        <v>46236</v>
      </c>
      <c r="B6" s="29" t="n">
        <v>14</v>
      </c>
      <c r="C6" s="29" t="n">
        <v>2</v>
      </c>
      <c r="D6" s="29" t="n">
        <v>2</v>
      </c>
      <c r="E6" s="29" t="n">
        <v>0</v>
      </c>
      <c r="F6" s="29" t="n">
        <v>0</v>
      </c>
      <c r="G6" s="29" t="n">
        <v>0</v>
      </c>
      <c r="H6" s="30" t="inlineStr">
        <is>
          <t>（サンプル）</t>
        </is>
      </c>
      <c r="I6" s="30" t="inlineStr"/>
      <c r="K6" s="31" t="inlineStr">
        <is>
          <t>面接設定</t>
        </is>
      </c>
      <c r="L6" s="14">
        <f>COUNTIF(応募者データ!$K$3:$K$502,"面接調整中")+COUNTIF(応募者データ!$K$3:$K$502,"面接日確定")+COUNTIF(応募者データ!$K$3:$K$502,"面接実施済み")</f>
        <v/>
      </c>
    </row>
    <row r="7">
      <c r="A7" s="32" t="n"/>
      <c r="B7" s="12" t="n"/>
      <c r="C7" s="12" t="n"/>
      <c r="D7" s="12" t="n"/>
      <c r="E7" s="12" t="n"/>
      <c r="F7" s="12" t="n"/>
      <c r="G7" s="12" t="n"/>
      <c r="H7" s="12" t="n"/>
      <c r="I7" s="12" t="n"/>
      <c r="K7" s="31" t="inlineStr">
        <is>
          <t>面接実施</t>
        </is>
      </c>
      <c r="L7" s="14">
        <f>COUNTIF(応募者データ!$K$3:$K$502,"面接実施済み")</f>
        <v/>
      </c>
    </row>
    <row r="8">
      <c r="A8" s="32" t="n"/>
      <c r="B8" s="12" t="n"/>
      <c r="C8" s="12" t="n"/>
      <c r="D8" s="12" t="n"/>
      <c r="E8" s="12" t="n"/>
      <c r="F8" s="12" t="n"/>
      <c r="G8" s="12" t="n"/>
      <c r="H8" s="12" t="n"/>
      <c r="I8" s="12" t="n"/>
      <c r="K8" s="31" t="inlineStr">
        <is>
          <t>内定</t>
        </is>
      </c>
      <c r="L8" s="14">
        <f>COUNTIF(応募者データ!$M$3:$M$502,"採用")+COUNTIF(応募者データ!$M$3:$M$502,"入社予定")+COUNTIF(応募者データ!$M$3:$M$502,"採用辞退")+COUNTIF(応募者データ!$M$3:$M$502,"入社辞退")</f>
        <v/>
      </c>
    </row>
    <row r="9">
      <c r="A9" s="32" t="n"/>
      <c r="B9" s="12" t="n"/>
      <c r="C9" s="12" t="n"/>
      <c r="D9" s="12" t="n"/>
      <c r="E9" s="12" t="n"/>
      <c r="F9" s="12" t="n"/>
      <c r="G9" s="12" t="n"/>
      <c r="H9" s="12" t="n"/>
      <c r="I9" s="12" t="n"/>
      <c r="K9" s="31" t="inlineStr">
        <is>
          <t>承諾</t>
        </is>
      </c>
      <c r="L9" s="14">
        <f>COUNTIF(応募者データ!$M$3:$M$502,"採用")+COUNTIF(応募者データ!$M$3:$M$502,"入社予定")</f>
        <v/>
      </c>
    </row>
    <row r="10">
      <c r="A10" s="32" t="n"/>
      <c r="B10" s="12" t="n"/>
      <c r="C10" s="12" t="n"/>
      <c r="D10" s="12" t="n"/>
      <c r="E10" s="12" t="n"/>
      <c r="F10" s="12" t="n"/>
      <c r="G10" s="12" t="n"/>
      <c r="H10" s="12" t="n"/>
      <c r="I10" s="12" t="n"/>
    </row>
    <row r="11">
      <c r="A11" s="32" t="n"/>
      <c r="B11" s="12" t="n"/>
      <c r="C11" s="12" t="n"/>
      <c r="D11" s="12" t="n"/>
      <c r="E11" s="12" t="n"/>
      <c r="F11" s="12" t="n"/>
      <c r="G11" s="12" t="n"/>
      <c r="H11" s="12" t="n"/>
      <c r="I11" s="12" t="n"/>
    </row>
    <row r="12">
      <c r="A12" s="32" t="n"/>
      <c r="B12" s="12" t="n"/>
      <c r="C12" s="12" t="n"/>
      <c r="D12" s="12" t="n"/>
      <c r="E12" s="12" t="n"/>
      <c r="F12" s="12" t="n"/>
      <c r="G12" s="12" t="n"/>
      <c r="H12" s="12" t="n"/>
      <c r="I12" s="12" t="n"/>
    </row>
    <row r="13">
      <c r="A13" s="32" t="n"/>
      <c r="B13" s="12" t="n"/>
      <c r="C13" s="12" t="n"/>
      <c r="D13" s="12" t="n"/>
      <c r="E13" s="12" t="n"/>
      <c r="F13" s="12" t="n"/>
      <c r="G13" s="12" t="n"/>
      <c r="H13" s="12" t="n"/>
      <c r="I13" s="12" t="n"/>
    </row>
    <row r="14">
      <c r="A14" s="32" t="n"/>
      <c r="B14" s="12" t="n"/>
      <c r="C14" s="12" t="n"/>
      <c r="D14" s="12" t="n"/>
      <c r="E14" s="12" t="n"/>
      <c r="F14" s="12" t="n"/>
      <c r="G14" s="12" t="n"/>
      <c r="H14" s="12" t="n"/>
      <c r="I14" s="12" t="n"/>
    </row>
    <row r="15">
      <c r="A15" s="32" t="n"/>
      <c r="B15" s="12" t="n"/>
      <c r="C15" s="12" t="n"/>
      <c r="D15" s="12" t="n"/>
      <c r="E15" s="12" t="n"/>
      <c r="F15" s="12" t="n"/>
      <c r="G15" s="12" t="n"/>
      <c r="H15" s="12" t="n"/>
      <c r="I15" s="12" t="n"/>
    </row>
    <row r="16">
      <c r="A16" s="32" t="n"/>
      <c r="B16" s="12" t="n"/>
      <c r="C16" s="12" t="n"/>
      <c r="D16" s="12" t="n"/>
      <c r="E16" s="12" t="n"/>
      <c r="F16" s="12" t="n"/>
      <c r="G16" s="12" t="n"/>
      <c r="H16" s="12" t="n"/>
      <c r="I16" s="12" t="n"/>
    </row>
    <row r="17">
      <c r="A17" s="32" t="n"/>
      <c r="B17" s="12" t="n"/>
      <c r="C17" s="12" t="n"/>
      <c r="D17" s="12" t="n"/>
      <c r="E17" s="12" t="n"/>
      <c r="F17" s="12" t="n"/>
      <c r="G17" s="12" t="n"/>
      <c r="H17" s="12" t="n"/>
      <c r="I17" s="12" t="n"/>
    </row>
    <row r="18">
      <c r="A18" s="32" t="n"/>
      <c r="B18" s="12" t="n"/>
      <c r="C18" s="12" t="n"/>
      <c r="D18" s="12" t="n"/>
      <c r="E18" s="12" t="n"/>
      <c r="F18" s="12" t="n"/>
      <c r="G18" s="12" t="n"/>
      <c r="H18" s="12" t="n"/>
      <c r="I18" s="12" t="n"/>
    </row>
    <row r="19">
      <c r="A19" s="32" t="n"/>
      <c r="B19" s="12" t="n"/>
      <c r="C19" s="12" t="n"/>
      <c r="D19" s="12" t="n"/>
      <c r="E19" s="12" t="n"/>
      <c r="F19" s="12" t="n"/>
      <c r="G19" s="12" t="n"/>
      <c r="H19" s="12" t="n"/>
      <c r="I19" s="12" t="n"/>
    </row>
    <row r="20">
      <c r="A20" s="32" t="n"/>
      <c r="B20" s="12" t="n"/>
      <c r="C20" s="12" t="n"/>
      <c r="D20" s="12" t="n"/>
      <c r="E20" s="12" t="n"/>
      <c r="F20" s="12" t="n"/>
      <c r="G20" s="12" t="n"/>
      <c r="H20" s="12" t="n"/>
      <c r="I20" s="12" t="n"/>
    </row>
    <row r="21">
      <c r="A21" s="32" t="n"/>
      <c r="B21" s="12" t="n"/>
      <c r="C21" s="12" t="n"/>
      <c r="D21" s="12" t="n"/>
      <c r="E21" s="12" t="n"/>
      <c r="F21" s="12" t="n"/>
      <c r="G21" s="12" t="n"/>
      <c r="H21" s="12" t="n"/>
      <c r="I21" s="12" t="n"/>
    </row>
    <row r="22">
      <c r="A22" s="32" t="n"/>
      <c r="B22" s="12" t="n"/>
      <c r="C22" s="12" t="n"/>
      <c r="D22" s="12" t="n"/>
      <c r="E22" s="12" t="n"/>
      <c r="F22" s="12" t="n"/>
      <c r="G22" s="12" t="n"/>
      <c r="H22" s="12" t="n"/>
      <c r="I22" s="12" t="n"/>
    </row>
    <row r="23">
      <c r="A23" s="32" t="n"/>
      <c r="B23" s="12" t="n"/>
      <c r="C23" s="12" t="n"/>
      <c r="D23" s="12" t="n"/>
      <c r="E23" s="12" t="n"/>
      <c r="F23" s="12" t="n"/>
      <c r="G23" s="12" t="n"/>
      <c r="H23" s="12" t="n"/>
      <c r="I23" s="12" t="n"/>
    </row>
    <row r="24">
      <c r="A24" s="32" t="n"/>
      <c r="B24" s="12" t="n"/>
      <c r="C24" s="12" t="n"/>
      <c r="D24" s="12" t="n"/>
      <c r="E24" s="12" t="n"/>
      <c r="F24" s="12" t="n"/>
      <c r="G24" s="12" t="n"/>
      <c r="H24" s="12" t="n"/>
      <c r="I24" s="12" t="n"/>
    </row>
    <row r="25">
      <c r="A25" s="32" t="n"/>
      <c r="B25" s="12" t="n"/>
      <c r="C25" s="12" t="n"/>
      <c r="D25" s="12" t="n"/>
      <c r="E25" s="12" t="n"/>
      <c r="F25" s="12" t="n"/>
      <c r="G25" s="12" t="n"/>
      <c r="H25" s="12" t="n"/>
      <c r="I25" s="12" t="n"/>
    </row>
    <row r="26">
      <c r="A26" s="32" t="n"/>
      <c r="B26" s="12" t="n"/>
      <c r="C26" s="12" t="n"/>
      <c r="D26" s="12" t="n"/>
      <c r="E26" s="12" t="n"/>
      <c r="F26" s="12" t="n"/>
      <c r="G26" s="12" t="n"/>
      <c r="H26" s="12" t="n"/>
      <c r="I26" s="12" t="n"/>
    </row>
  </sheetData>
  <mergeCells count="3">
    <mergeCell ref="A1:I1"/>
    <mergeCell ref="A2:I2"/>
    <mergeCell ref="K3:L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2026-08-03T06:39:03Z</dcterms:created>
  <dcterms:modified xsi:type="dcterms:W3CDTF">2026-08-03T06:39:03Z</dcterms:modified>
</cp:coreProperties>
</file>