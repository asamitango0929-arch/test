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ダッシュボード" sheetId="1" state="visible" r:id="rId1"/>
    <sheet name="マスタ" sheetId="2" state="visible" r:id="rId2"/>
    <sheet name="応募者データ" sheetId="3" state="visible" r:id="rId3"/>
    <sheet name="日次レポート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0.0%"/>
    <numFmt numFmtId="166" formatCode="+#,##0;-#,##0;0"/>
  </numFmts>
  <fonts count="17">
    <font>
      <name val="Calibri"/>
      <family val="2"/>
      <color theme="1"/>
      <sz val="11"/>
      <scheme val="minor"/>
    </font>
    <font>
      <name val="Meiryo"/>
      <b val="1"/>
      <color rgb="002E5496"/>
      <sz val="13"/>
    </font>
    <font>
      <name val="Meiryo"/>
      <b val="1"/>
      <color rgb="00FFFFFF"/>
      <sz val="11"/>
    </font>
    <font>
      <name val="Meiryo"/>
      <color rgb="001A1A1A"/>
      <sz val="10"/>
    </font>
    <font>
      <name val="Meiryo"/>
      <b val="1"/>
      <color rgb="00FFFFFF"/>
      <sz val="12"/>
    </font>
    <font>
      <name val="Meiryo"/>
      <b val="1"/>
      <color rgb="00FFFFFF"/>
      <sz val="10"/>
    </font>
    <font>
      <name val="Meiryo"/>
      <i val="1"/>
      <color rgb="00808080"/>
      <sz val="9"/>
    </font>
    <font>
      <name val="Meiryo"/>
      <i val="1"/>
      <color rgb="00808080"/>
      <sz val="10"/>
    </font>
    <font>
      <name val="Meiryo"/>
      <b val="1"/>
      <color rgb="001A1A1A"/>
      <sz val="10"/>
    </font>
    <font>
      <name val="Meiryo"/>
      <b val="1"/>
      <color rgb="00FFFFFF"/>
      <sz val="18"/>
    </font>
    <font>
      <name val="Meiryo"/>
      <color rgb="00FFFFFF"/>
      <sz val="10"/>
    </font>
    <font>
      <name val="Meiryo"/>
      <b val="1"/>
      <color rgb="001A1A1A"/>
      <sz val="11"/>
    </font>
    <font>
      <name val="Meiryo"/>
      <b val="1"/>
      <color rgb="000000FF"/>
      <sz val="11"/>
    </font>
    <font>
      <name val="Meiryo"/>
      <color rgb="00808080"/>
      <sz val="9"/>
    </font>
    <font>
      <name val="Meiryo"/>
      <color rgb="001A1A1A"/>
      <sz val="11"/>
    </font>
    <font>
      <name val="Meiryo"/>
      <b val="1"/>
      <color rgb="002E5496"/>
      <sz val="11"/>
    </font>
    <font>
      <name val="Meiryo"/>
      <b val="1"/>
      <color rgb="002E5496"/>
      <sz val="10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9" fillId="3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9" fontId="12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65" fontId="1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 wrapText="1"/>
    </xf>
    <xf numFmtId="164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Meiryo"/>
        <b val="1"/>
        <color rgb="00006100"/>
      </font>
      <fill>
        <patternFill patternType="solid">
          <fgColor rgb="00C6EFCE"/>
        </patternFill>
      </fill>
    </dxf>
    <dxf>
      <font>
        <name val="Meiryo"/>
        <color rgb="009C6500"/>
      </font>
      <fill>
        <patternFill patternType="solid">
          <fgColor rgb="00FFEB9C"/>
        </patternFill>
      </fill>
    </dxf>
    <dxf>
      <font>
        <name val="Meiryo"/>
        <color rgb="009C0006"/>
      </font>
      <fill>
        <patternFill patternType="solid">
          <fgColor rgb="00FFC7CE"/>
        </patternFill>
      </fill>
    </dxf>
    <dxf>
      <font>
        <name val="Meiryo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採用ファネル（実績）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'KPIダッシュボード'!$B$11:$B$16</f>
            </numRef>
          </cat>
          <val>
            <numRef>
              <f>'KPIダッシュボード'!$D$11:$D$16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媒体別 応募数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'KPIダッシュボード'!C27</f>
            </strRef>
          </tx>
          <spPr>
            <a:ln>
              <a:prstDash val="solid"/>
            </a:ln>
          </spPr>
          <cat>
            <numRef>
              <f>'KPIダッシュボード'!$B$28:$B$33</f>
            </numRef>
          </cat>
          <val>
            <numRef>
              <f>'KPIダッシュボード'!$C$28:$C$33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推移（日次）</a:t>
            </a:r>
          </a:p>
        </rich>
      </tx>
    </title>
    <plotArea>
      <lineChart>
        <grouping val="standard"/>
        <ser>
          <idx val="0"/>
          <order val="0"/>
          <tx>
            <strRef>
              <f>'日次レポート'!B3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'日次レポート'!$B$4:$B$16</f>
            </numRef>
          </val>
        </ser>
        <ser>
          <idx val="1"/>
          <order val="1"/>
          <tx>
            <strRef>
              <f>'日次レポート'!C3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'日次レポート'!$C$4:$C$16</f>
            </numRef>
          </val>
        </ser>
        <ser>
          <idx val="2"/>
          <order val="2"/>
          <tx>
            <strRef>
              <f>'日次レポート'!D3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'日次レポート'!$D$4:$D$16</f>
            </numRef>
          </val>
        </ser>
        <ser>
          <idx val="3"/>
          <order val="3"/>
          <tx>
            <strRef>
              <f>'日次レポート'!E3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'日次レポート'!$E$4:$E$16</f>
            </numRef>
          </val>
        </ser>
        <ser>
          <idx val="4"/>
          <order val="4"/>
          <tx>
            <strRef>
              <f>'日次レポート'!F3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'日次レポート'!$F$4:$F$16</f>
            </numRef>
          </val>
        </ser>
        <ser>
          <idx val="5"/>
          <order val="5"/>
          <tx>
            <strRef>
              <f>'日次レポート'!G3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'日次レポート'!$G$4:$G$16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35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H53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1" customWidth="1" min="3" max="3"/>
    <col width="12" customWidth="1" min="4" max="4"/>
    <col width="10" customWidth="1" min="5" max="5"/>
    <col width="11" customWidth="1" min="6" max="6"/>
    <col width="11" customWidth="1" min="7" max="7"/>
    <col width="11" customWidth="1" min="8" max="8"/>
    <col width="2" customWidth="1" min="9" max="9"/>
  </cols>
  <sheetData>
    <row r="1" ht="34" customHeight="1">
      <c r="B1" s="1" t="inlineStr">
        <is>
          <t>📊 短時間勤務者　採用KPIダッシュボード</t>
        </is>
      </c>
    </row>
    <row r="2" ht="20" customHeight="1">
      <c r="B2" s="2">
        <f>TEXT(MAX(日次レポート!$A$4:$A$200),"yyyy/mm/dd")&amp;" 時点　｜　成田(NRT)・千歳(CTS) パート採用進捗　｜　数値は応募者データより自動集計"</f>
        <v/>
      </c>
    </row>
    <row r="4" ht="22" customHeight="1">
      <c r="B4" s="3" t="inlineStr">
        <is>
          <t>◎  目標設定 ─ 黄色セルに入力（採用目標から各段階の目標を自動逆算）</t>
        </is>
      </c>
    </row>
    <row r="5">
      <c r="B5" s="4" t="inlineStr">
        <is>
          <t>採用目標（承諾・人）</t>
        </is>
      </c>
      <c r="C5" s="5" t="inlineStr">
        <is>
          <t>NRT(成田)</t>
        </is>
      </c>
      <c r="D5" s="6" t="n">
        <v>10</v>
      </c>
      <c r="E5" s="5" t="inlineStr">
        <is>
          <t>CTS(千歳)</t>
        </is>
      </c>
      <c r="F5" s="6" t="n">
        <v>10</v>
      </c>
      <c r="G5" s="5" t="inlineStr">
        <is>
          <t>合計</t>
        </is>
      </c>
      <c r="H5" s="7">
        <f>D5+F5</f>
        <v/>
      </c>
    </row>
    <row r="6">
      <c r="B6" s="8" t="inlineStr">
        <is>
          <t>歩留まり前提</t>
        </is>
      </c>
      <c r="C6" s="5" t="inlineStr">
        <is>
          <t>書類通過率</t>
        </is>
      </c>
      <c r="D6" s="5" t="inlineStr">
        <is>
          <t>面接設定率</t>
        </is>
      </c>
      <c r="E6" s="5" t="inlineStr">
        <is>
          <t>面接実施率</t>
        </is>
      </c>
      <c r="F6" s="5" t="inlineStr">
        <is>
          <t>内定率</t>
        </is>
      </c>
      <c r="G6" s="5" t="inlineStr">
        <is>
          <t>承諾率</t>
        </is>
      </c>
    </row>
    <row r="7">
      <c r="B7" s="9" t="inlineStr">
        <is>
          <t>（応募→承諾）</t>
        </is>
      </c>
      <c r="C7" s="10" t="n">
        <v>0.5</v>
      </c>
      <c r="D7" s="10" t="n">
        <v>0.7</v>
      </c>
      <c r="E7" s="10" t="n">
        <v>0.85</v>
      </c>
      <c r="F7" s="10" t="n">
        <v>0.6</v>
      </c>
      <c r="G7" s="10" t="n">
        <v>0.8</v>
      </c>
    </row>
    <row r="9" ht="22" customHeight="1">
      <c r="B9" s="3" t="inlineStr">
        <is>
          <t>①  採用ファネル：目標 vs 実績（累計）</t>
        </is>
      </c>
    </row>
    <row r="10">
      <c r="B10" s="11" t="inlineStr">
        <is>
          <t>指標</t>
        </is>
      </c>
      <c r="C10" s="11" t="inlineStr">
        <is>
          <t>目標(逆算)</t>
        </is>
      </c>
      <c r="D10" s="11" t="inlineStr">
        <is>
          <t>実績(累計)</t>
        </is>
      </c>
      <c r="E10" s="11" t="inlineStr">
        <is>
          <t>達成率</t>
        </is>
      </c>
      <c r="F10" s="11" t="inlineStr">
        <is>
          <t>前日</t>
        </is>
      </c>
      <c r="G10" s="11" t="inlineStr">
        <is>
          <t>前日比</t>
        </is>
      </c>
    </row>
    <row r="11">
      <c r="B11" s="4" t="inlineStr">
        <is>
          <t>応募数</t>
        </is>
      </c>
      <c r="C11" s="12">
        <f>ROUNDUP(C12/$C$7,0)</f>
        <v/>
      </c>
      <c r="D11" s="13">
        <f>COUNTA(応募者データ!$E$3:$E$502)</f>
        <v/>
      </c>
      <c r="E11" s="14">
        <f>IFERROR(D11/C11,"")</f>
        <v/>
      </c>
      <c r="F11" s="13">
        <f>IFERROR(LOOKUP(1E+100,日次レポート!B$4:B$200),0)</f>
        <v/>
      </c>
      <c r="G11" s="15">
        <f>D11-F11</f>
        <v/>
      </c>
    </row>
    <row r="12">
      <c r="B12" s="4" t="inlineStr">
        <is>
          <t>書類通過</t>
        </is>
      </c>
      <c r="C12" s="12">
        <f>ROUNDUP(C13/$D$7,0)</f>
        <v/>
      </c>
      <c r="D12" s="13">
        <f>COUNTIF(応募者データ!$I$3:$I$502,"通過")</f>
        <v/>
      </c>
      <c r="E12" s="14">
        <f>IFERROR(D12/C12,"")</f>
        <v/>
      </c>
      <c r="F12" s="13">
        <f>IFERROR(LOOKUP(1E+100,日次レポート!C$4:C$200),0)</f>
        <v/>
      </c>
      <c r="G12" s="15">
        <f>D12-F12</f>
        <v/>
      </c>
    </row>
    <row r="13">
      <c r="B13" s="4" t="inlineStr">
        <is>
          <t>面接設定</t>
        </is>
      </c>
      <c r="C13" s="12">
        <f>ROUNDUP(C14/$E$7,0)</f>
        <v/>
      </c>
      <c r="D13" s="13">
        <f>COUNTIF(応募者データ!$K$3:$K$502,"面接調整中")+COUNTIF(応募者データ!$K$3:$K$502,"面接日確定")+COUNTIF(応募者データ!$K$3:$K$502,"面接実施済み")</f>
        <v/>
      </c>
      <c r="E13" s="14">
        <f>IFERROR(D13/C13,"")</f>
        <v/>
      </c>
      <c r="F13" s="13">
        <f>IFERROR(LOOKUP(1E+100,日次レポート!D$4:D$200),0)</f>
        <v/>
      </c>
      <c r="G13" s="15">
        <f>D13-F13</f>
        <v/>
      </c>
    </row>
    <row r="14">
      <c r="B14" s="4" t="inlineStr">
        <is>
          <t>面接実施</t>
        </is>
      </c>
      <c r="C14" s="12">
        <f>ROUNDUP(C15/$F$7,0)</f>
        <v/>
      </c>
      <c r="D14" s="13">
        <f>COUNTIF(応募者データ!$K$3:$K$502,"面接実施済み")</f>
        <v/>
      </c>
      <c r="E14" s="14">
        <f>IFERROR(D14/C14,"")</f>
        <v/>
      </c>
      <c r="F14" s="13">
        <f>IFERROR(LOOKUP(1E+100,日次レポート!E$4:E$200),0)</f>
        <v/>
      </c>
      <c r="G14" s="15">
        <f>D14-F14</f>
        <v/>
      </c>
    </row>
    <row r="15">
      <c r="B15" s="4" t="inlineStr">
        <is>
          <t>内定</t>
        </is>
      </c>
      <c r="C15" s="12">
        <f>ROUNDUP(C16/$G$7,0)</f>
        <v/>
      </c>
      <c r="D15" s="13">
        <f>COUNTIF(応募者データ!$M$3:$M$502,"採用")+COUNTIF(応募者データ!$M$3:$M$502,"入社予定")+COUNTIF(応募者データ!$M$3:$M$502,"採用辞退")+COUNTIF(応募者データ!$M$3:$M$502,"入社辞退")</f>
        <v/>
      </c>
      <c r="E15" s="14">
        <f>IFERROR(D15/C15,"")</f>
        <v/>
      </c>
      <c r="F15" s="13">
        <f>IFERROR(LOOKUP(1E+100,日次レポート!F$4:F$200),0)</f>
        <v/>
      </c>
      <c r="G15" s="15">
        <f>D15-F15</f>
        <v/>
      </c>
    </row>
    <row r="16">
      <c r="B16" s="4" t="inlineStr">
        <is>
          <t>承諾</t>
        </is>
      </c>
      <c r="C16" s="12">
        <f>$H$5</f>
        <v/>
      </c>
      <c r="D16" s="13">
        <f>COUNTIF(応募者データ!$M$3:$M$502,"採用")+COUNTIF(応募者データ!$M$3:$M$502,"入社予定")</f>
        <v/>
      </c>
      <c r="E16" s="14">
        <f>IFERROR(D16/C16,"")</f>
        <v/>
      </c>
      <c r="F16" s="13">
        <f>IFERROR(LOOKUP(1E+100,日次レポート!G$4:G$200),0)</f>
        <v/>
      </c>
      <c r="G16" s="15">
        <f>D16-F16</f>
        <v/>
      </c>
    </row>
    <row r="18" ht="22" customHeight="1">
      <c r="B18" s="3" t="inlineStr">
        <is>
          <t>②  転換率（歩留まり）</t>
        </is>
      </c>
    </row>
    <row r="19">
      <c r="B19" s="11" t="inlineStr">
        <is>
          <t>指標</t>
        </is>
      </c>
      <c r="C19" s="11" t="inlineStr">
        <is>
          <t>値</t>
        </is>
      </c>
      <c r="D19" s="11" t="inlineStr">
        <is>
          <t>計算式・定義</t>
        </is>
      </c>
    </row>
    <row r="20">
      <c r="B20" s="4" t="inlineStr">
        <is>
          <t>書類通過率</t>
        </is>
      </c>
      <c r="C20" s="16">
        <f>IFERROR(D12/D11,"")</f>
        <v/>
      </c>
      <c r="D20" s="9" t="inlineStr">
        <is>
          <t>書類通過 ÷ 応募数</t>
        </is>
      </c>
      <c r="E20" s="17" t="n"/>
      <c r="F20" s="17" t="n"/>
      <c r="G20" s="17" t="n"/>
    </row>
    <row r="21">
      <c r="B21" s="4" t="inlineStr">
        <is>
          <t>面接設定率</t>
        </is>
      </c>
      <c r="C21" s="16">
        <f>IFERROR(D13/D12,"")</f>
        <v/>
      </c>
      <c r="D21" s="9" t="inlineStr">
        <is>
          <t>面接設定 ÷ 書類通過</t>
        </is>
      </c>
      <c r="E21" s="17" t="n"/>
      <c r="F21" s="17" t="n"/>
      <c r="G21" s="17" t="n"/>
    </row>
    <row r="22">
      <c r="B22" s="4" t="inlineStr">
        <is>
          <t>面接実施率</t>
        </is>
      </c>
      <c r="C22" s="16">
        <f>IFERROR(D14/D13,"")</f>
        <v/>
      </c>
      <c r="D22" s="9" t="inlineStr">
        <is>
          <t>面接実施 ÷ 面接設定</t>
        </is>
      </c>
      <c r="E22" s="17" t="n"/>
      <c r="F22" s="17" t="n"/>
      <c r="G22" s="17" t="n"/>
    </row>
    <row r="23">
      <c r="B23" s="4" t="inlineStr">
        <is>
          <t>内定率</t>
        </is>
      </c>
      <c r="C23" s="16">
        <f>IFERROR(D15/D14,"")</f>
        <v/>
      </c>
      <c r="D23" s="9" t="inlineStr">
        <is>
          <t>内定 ÷ 面接実施</t>
        </is>
      </c>
      <c r="E23" s="17" t="n"/>
      <c r="F23" s="17" t="n"/>
      <c r="G23" s="17" t="n"/>
    </row>
    <row r="24">
      <c r="B24" s="4" t="inlineStr">
        <is>
          <t>承諾率</t>
        </is>
      </c>
      <c r="C24" s="16">
        <f>IFERROR(D16/D15,"")</f>
        <v/>
      </c>
      <c r="D24" s="9" t="inlineStr">
        <is>
          <t>承諾 ÷ 内定</t>
        </is>
      </c>
      <c r="E24" s="17" t="n"/>
      <c r="F24" s="17" t="n"/>
      <c r="G24" s="17" t="n"/>
    </row>
    <row r="26" ht="22" customHeight="1">
      <c r="B26" s="3" t="inlineStr">
        <is>
          <t>③  媒体別 実績</t>
        </is>
      </c>
    </row>
    <row r="27">
      <c r="B27" s="11" t="inlineStr">
        <is>
          <t>媒体</t>
        </is>
      </c>
      <c r="C27" s="11" t="inlineStr">
        <is>
          <t>応募数</t>
        </is>
      </c>
      <c r="D27" s="11" t="inlineStr">
        <is>
          <t>書類通過</t>
        </is>
      </c>
      <c r="E27" s="11" t="inlineStr">
        <is>
          <t>面接設定</t>
        </is>
      </c>
      <c r="F27" s="11" t="inlineStr">
        <is>
          <t>面接実施</t>
        </is>
      </c>
      <c r="G27" s="11" t="inlineStr">
        <is>
          <t>内定</t>
        </is>
      </c>
      <c r="H27" s="11" t="inlineStr">
        <is>
          <t>承諾</t>
        </is>
      </c>
    </row>
    <row r="28">
      <c r="B28" s="8" t="inlineStr">
        <is>
          <t>バイトル</t>
        </is>
      </c>
      <c r="C28" s="18">
        <f>COUNTIF(応募者データ!$B$3:$B$502,"バイトル")</f>
        <v/>
      </c>
      <c r="D28" s="18">
        <f>COUNTIFS(応募者データ!$B$3:$B$502,"バイトル",応募者データ!$I$3:$I$502,"通過")</f>
        <v/>
      </c>
      <c r="E28" s="18">
        <f>COUNTIFS(応募者データ!$B$3:$B$502,"バイトル",応募者データ!$K$3:$K$502,"面接調整中")+COUNTIFS(応募者データ!$B$3:$B$502,"バイトル",応募者データ!$K$3:$K$502,"面接日確定")+COUNTIFS(応募者データ!$B$3:$B$502,"バイトル",応募者データ!$K$3:$K$502,"面接実施済み")</f>
        <v/>
      </c>
      <c r="F28" s="18">
        <f>COUNTIFS(応募者データ!$B$3:$B$502,"バイトル",応募者データ!$K$3:$K$502,"面接実施済み")</f>
        <v/>
      </c>
      <c r="G28" s="18">
        <f>COUNTIFS(応募者データ!$B$3:$B$502,"バイトル",応募者データ!$M$3:$M$502,"採用")+COUNTIFS(応募者データ!$B$3:$B$502,"バイトル",応募者データ!$M$3:$M$502,"入社予定")+COUNTIFS(応募者データ!$B$3:$B$502,"バイトル",応募者データ!$M$3:$M$502,"採用辞退")+COUNTIFS(応募者データ!$B$3:$B$502,"バイトル",応募者データ!$M$3:$M$502,"入社辞退")</f>
        <v/>
      </c>
      <c r="H28" s="18">
        <f>COUNTIFS(応募者データ!$B$3:$B$502,"バイトル",応募者データ!$M$3:$M$502,"採用")+COUNTIFS(応募者データ!$B$3:$B$502,"バイトル",応募者データ!$M$3:$M$502,"入社予定")</f>
        <v/>
      </c>
    </row>
    <row r="29">
      <c r="B29" s="19" t="inlineStr">
        <is>
          <t>マイナビバイト</t>
        </is>
      </c>
      <c r="C29" s="20">
        <f>COUNTIF(応募者データ!$B$3:$B$502,"マイナビバイト")</f>
        <v/>
      </c>
      <c r="D29" s="20">
        <f>COUNTIFS(応募者データ!$B$3:$B$502,"マイナビバイト",応募者データ!$I$3:$I$502,"通過")</f>
        <v/>
      </c>
      <c r="E29" s="20">
        <f>COUNTIFS(応募者データ!$B$3:$B$502,"マイナビバイト",応募者データ!$K$3:$K$502,"面接調整中")+COUNTIFS(応募者データ!$B$3:$B$502,"マイナビバイト",応募者データ!$K$3:$K$502,"面接日確定")+COUNTIFS(応募者データ!$B$3:$B$502,"マイナビバイト",応募者データ!$K$3:$K$502,"面接実施済み")</f>
        <v/>
      </c>
      <c r="F29" s="20">
        <f>COUNTIFS(応募者データ!$B$3:$B$502,"マイナビバイト",応募者データ!$K$3:$K$502,"面接実施済み")</f>
        <v/>
      </c>
      <c r="G29" s="20">
        <f>COUNTIFS(応募者データ!$B$3:$B$502,"マイナビバイト",応募者データ!$M$3:$M$502,"採用")+COUNTIFS(応募者データ!$B$3:$B$502,"マイナビバイト",応募者データ!$M$3:$M$502,"入社予定")+COUNTIFS(応募者データ!$B$3:$B$502,"マイナビバイト",応募者データ!$M$3:$M$502,"採用辞退")+COUNTIFS(応募者データ!$B$3:$B$502,"マイナビバイト",応募者データ!$M$3:$M$502,"入社辞退")</f>
        <v/>
      </c>
      <c r="H29" s="20">
        <f>COUNTIFS(応募者データ!$B$3:$B$502,"マイナビバイト",応募者データ!$M$3:$M$502,"採用")+COUNTIFS(応募者データ!$B$3:$B$502,"マイナビバイト",応募者データ!$M$3:$M$502,"入社予定")</f>
        <v/>
      </c>
    </row>
    <row r="30">
      <c r="B30" s="8" t="inlineStr">
        <is>
          <t>ちゃんと</t>
        </is>
      </c>
      <c r="C30" s="18">
        <f>COUNTIF(応募者データ!$B$3:$B$502,"ちゃんと")</f>
        <v/>
      </c>
      <c r="D30" s="18">
        <f>COUNTIFS(応募者データ!$B$3:$B$502,"ちゃんと",応募者データ!$I$3:$I$502,"通過")</f>
        <v/>
      </c>
      <c r="E30" s="18">
        <f>COUNTIFS(応募者データ!$B$3:$B$502,"ちゃんと",応募者データ!$K$3:$K$502,"面接調整中")+COUNTIFS(応募者データ!$B$3:$B$502,"ちゃんと",応募者データ!$K$3:$K$502,"面接日確定")+COUNTIFS(応募者データ!$B$3:$B$502,"ちゃんと",応募者データ!$K$3:$K$502,"面接実施済み")</f>
        <v/>
      </c>
      <c r="F30" s="18">
        <f>COUNTIFS(応募者データ!$B$3:$B$502,"ちゃんと",応募者データ!$K$3:$K$502,"面接実施済み")</f>
        <v/>
      </c>
      <c r="G30" s="18">
        <f>COUNTIFS(応募者データ!$B$3:$B$502,"ちゃんと",応募者データ!$M$3:$M$502,"採用")+COUNTIFS(応募者データ!$B$3:$B$502,"ちゃんと",応募者データ!$M$3:$M$502,"入社予定")+COUNTIFS(応募者データ!$B$3:$B$502,"ちゃんと",応募者データ!$M$3:$M$502,"採用辞退")+COUNTIFS(応募者データ!$B$3:$B$502,"ちゃんと",応募者データ!$M$3:$M$502,"入社辞退")</f>
        <v/>
      </c>
      <c r="H30" s="18">
        <f>COUNTIFS(応募者データ!$B$3:$B$502,"ちゃんと",応募者データ!$M$3:$M$502,"採用")+COUNTIFS(応募者データ!$B$3:$B$502,"ちゃんと",応募者データ!$M$3:$M$502,"入社予定")</f>
        <v/>
      </c>
    </row>
    <row r="31">
      <c r="B31" s="19" t="inlineStr">
        <is>
          <t>社員紹介</t>
        </is>
      </c>
      <c r="C31" s="20">
        <f>COUNTIF(応募者データ!$B$3:$B$502,"社員紹介")</f>
        <v/>
      </c>
      <c r="D31" s="20">
        <f>COUNTIFS(応募者データ!$B$3:$B$502,"社員紹介",応募者データ!$I$3:$I$502,"通過")</f>
        <v/>
      </c>
      <c r="E31" s="20">
        <f>COUNTIFS(応募者データ!$B$3:$B$502,"社員紹介",応募者データ!$K$3:$K$502,"面接調整中")+COUNTIFS(応募者データ!$B$3:$B$502,"社員紹介",応募者データ!$K$3:$K$502,"面接日確定")+COUNTIFS(応募者データ!$B$3:$B$502,"社員紹介",応募者データ!$K$3:$K$502,"面接実施済み")</f>
        <v/>
      </c>
      <c r="F31" s="20">
        <f>COUNTIFS(応募者データ!$B$3:$B$502,"社員紹介",応募者データ!$K$3:$K$502,"面接実施済み")</f>
        <v/>
      </c>
      <c r="G31" s="20">
        <f>COUNTIFS(応募者データ!$B$3:$B$502,"社員紹介",応募者データ!$M$3:$M$502,"採用")+COUNTIFS(応募者データ!$B$3:$B$502,"社員紹介",応募者データ!$M$3:$M$502,"入社予定")+COUNTIFS(応募者データ!$B$3:$B$502,"社員紹介",応募者データ!$M$3:$M$502,"採用辞退")+COUNTIFS(応募者データ!$B$3:$B$502,"社員紹介",応募者データ!$M$3:$M$502,"入社辞退")</f>
        <v/>
      </c>
      <c r="H31" s="20">
        <f>COUNTIFS(応募者データ!$B$3:$B$502,"社員紹介",応募者データ!$M$3:$M$502,"採用")+COUNTIFS(応募者データ!$B$3:$B$502,"社員紹介",応募者データ!$M$3:$M$502,"入社予定")</f>
        <v/>
      </c>
    </row>
    <row r="32">
      <c r="B32" s="8" t="inlineStr">
        <is>
          <t>HP</t>
        </is>
      </c>
      <c r="C32" s="18">
        <f>COUNTIF(応募者データ!$B$3:$B$502,"HP")</f>
        <v/>
      </c>
      <c r="D32" s="18">
        <f>COUNTIFS(応募者データ!$B$3:$B$502,"HP",応募者データ!$I$3:$I$502,"通過")</f>
        <v/>
      </c>
      <c r="E32" s="18">
        <f>COUNTIFS(応募者データ!$B$3:$B$502,"HP",応募者データ!$K$3:$K$502,"面接調整中")+COUNTIFS(応募者データ!$B$3:$B$502,"HP",応募者データ!$K$3:$K$502,"面接日確定")+COUNTIFS(応募者データ!$B$3:$B$502,"HP",応募者データ!$K$3:$K$502,"面接実施済み")</f>
        <v/>
      </c>
      <c r="F32" s="18">
        <f>COUNTIFS(応募者データ!$B$3:$B$502,"HP",応募者データ!$K$3:$K$502,"面接実施済み")</f>
        <v/>
      </c>
      <c r="G32" s="18">
        <f>COUNTIFS(応募者データ!$B$3:$B$502,"HP",応募者データ!$M$3:$M$502,"採用")+COUNTIFS(応募者データ!$B$3:$B$502,"HP",応募者データ!$M$3:$M$502,"入社予定")+COUNTIFS(応募者データ!$B$3:$B$502,"HP",応募者データ!$M$3:$M$502,"採用辞退")+COUNTIFS(応募者データ!$B$3:$B$502,"HP",応募者データ!$M$3:$M$502,"入社辞退")</f>
        <v/>
      </c>
      <c r="H32" s="18">
        <f>COUNTIFS(応募者データ!$B$3:$B$502,"HP",応募者データ!$M$3:$M$502,"採用")+COUNTIFS(応募者データ!$B$3:$B$502,"HP",応募者データ!$M$3:$M$502,"入社予定")</f>
        <v/>
      </c>
    </row>
    <row r="33">
      <c r="B33" s="19" t="inlineStr">
        <is>
          <t>その他</t>
        </is>
      </c>
      <c r="C33" s="20">
        <f>COUNTIF(応募者データ!$B$3:$B$502,"その他")</f>
        <v/>
      </c>
      <c r="D33" s="20">
        <f>COUNTIFS(応募者データ!$B$3:$B$502,"その他",応募者データ!$I$3:$I$502,"通過")</f>
        <v/>
      </c>
      <c r="E33" s="20">
        <f>COUNTIFS(応募者データ!$B$3:$B$502,"その他",応募者データ!$K$3:$K$502,"面接調整中")+COUNTIFS(応募者データ!$B$3:$B$502,"その他",応募者データ!$K$3:$K$502,"面接日確定")+COUNTIFS(応募者データ!$B$3:$B$502,"その他",応募者データ!$K$3:$K$502,"面接実施済み")</f>
        <v/>
      </c>
      <c r="F33" s="20">
        <f>COUNTIFS(応募者データ!$B$3:$B$502,"その他",応募者データ!$K$3:$K$502,"面接実施済み")</f>
        <v/>
      </c>
      <c r="G33" s="20">
        <f>COUNTIFS(応募者データ!$B$3:$B$502,"その他",応募者データ!$M$3:$M$502,"採用")+COUNTIFS(応募者データ!$B$3:$B$502,"その他",応募者データ!$M$3:$M$502,"入社予定")+COUNTIFS(応募者データ!$B$3:$B$502,"その他",応募者データ!$M$3:$M$502,"採用辞退")+COUNTIFS(応募者データ!$B$3:$B$502,"その他",応募者データ!$M$3:$M$502,"入社辞退")</f>
        <v/>
      </c>
      <c r="H33" s="20">
        <f>COUNTIFS(応募者データ!$B$3:$B$502,"その他",応募者データ!$M$3:$M$502,"採用")+COUNTIFS(応募者データ!$B$3:$B$502,"その他",応募者データ!$M$3:$M$502,"入社予定")</f>
        <v/>
      </c>
    </row>
    <row r="34">
      <c r="B34" s="21" t="inlineStr">
        <is>
          <t>合計</t>
        </is>
      </c>
      <c r="C34" s="22">
        <f>SUM(C28:C33)</f>
        <v/>
      </c>
      <c r="D34" s="22">
        <f>SUM(D28:D33)</f>
        <v/>
      </c>
      <c r="E34" s="22">
        <f>SUM(E28:E33)</f>
        <v/>
      </c>
      <c r="F34" s="22">
        <f>SUM(F28:F33)</f>
        <v/>
      </c>
      <c r="G34" s="22">
        <f>SUM(G28:G33)</f>
        <v/>
      </c>
      <c r="H34" s="22">
        <f>SUM(H28:H33)</f>
        <v/>
      </c>
    </row>
    <row r="36" ht="22" customHeight="1">
      <c r="B36" s="3" t="inlineStr">
        <is>
          <t>④  基地別 実績（NRT=成田 / CTS=千歳）</t>
        </is>
      </c>
    </row>
    <row r="37">
      <c r="B37" s="11" t="inlineStr">
        <is>
          <t>基地</t>
        </is>
      </c>
      <c r="C37" s="11" t="inlineStr">
        <is>
          <t>応募数</t>
        </is>
      </c>
      <c r="D37" s="11" t="inlineStr">
        <is>
          <t>書類通過</t>
        </is>
      </c>
      <c r="E37" s="11" t="inlineStr">
        <is>
          <t>面接設定</t>
        </is>
      </c>
      <c r="F37" s="11" t="inlineStr">
        <is>
          <t>面接実施</t>
        </is>
      </c>
      <c r="G37" s="11" t="inlineStr">
        <is>
          <t>内定</t>
        </is>
      </c>
      <c r="H37" s="11" t="inlineStr">
        <is>
          <t>承諾</t>
        </is>
      </c>
    </row>
    <row r="38">
      <c r="B38" s="8" t="inlineStr">
        <is>
          <t>NRT（成田）</t>
        </is>
      </c>
      <c r="C38" s="18">
        <f>COUNTIF(応募者データ!$C$3:$C$502,"NRT")</f>
        <v/>
      </c>
      <c r="D38" s="18">
        <f>COUNTIFS(応募者データ!$C$3:$C$502,"NRT",応募者データ!$I$3:$I$502,"通過")</f>
        <v/>
      </c>
      <c r="E38" s="18">
        <f>COUNTIFS(応募者データ!$C$3:$C$502,"NRT",応募者データ!$K$3:$K$502,"面接調整中")+COUNTIFS(応募者データ!$C$3:$C$502,"NRT",応募者データ!$K$3:$K$502,"面接日確定")+COUNTIFS(応募者データ!$C$3:$C$502,"NRT",応募者データ!$K$3:$K$502,"面接実施済み")</f>
        <v/>
      </c>
      <c r="F38" s="18">
        <f>COUNTIFS(応募者データ!$C$3:$C$502,"NRT",応募者データ!$K$3:$K$502,"面接実施済み")</f>
        <v/>
      </c>
      <c r="G38" s="18">
        <f>COUNTIFS(応募者データ!$C$3:$C$502,"NRT",応募者データ!$M$3:$M$502,"採用")+COUNTIFS(応募者データ!$C$3:$C$502,"NRT",応募者データ!$M$3:$M$502,"入社予定")+COUNTIFS(応募者データ!$C$3:$C$502,"NRT",応募者データ!$M$3:$M$502,"採用辞退")+COUNTIFS(応募者データ!$C$3:$C$502,"NRT",応募者データ!$M$3:$M$502,"入社辞退")</f>
        <v/>
      </c>
      <c r="H38" s="18">
        <f>COUNTIFS(応募者データ!$C$3:$C$502,"NRT",応募者データ!$M$3:$M$502,"採用")+COUNTIFS(応募者データ!$C$3:$C$502,"NRT",応募者データ!$M$3:$M$502,"入社予定")</f>
        <v/>
      </c>
    </row>
    <row r="39">
      <c r="B39" s="8" t="inlineStr">
        <is>
          <t>CTS（千歳）</t>
        </is>
      </c>
      <c r="C39" s="18">
        <f>COUNTIF(応募者データ!$C$3:$C$502,"CTS")</f>
        <v/>
      </c>
      <c r="D39" s="18">
        <f>COUNTIFS(応募者データ!$C$3:$C$502,"CTS",応募者データ!$I$3:$I$502,"通過")</f>
        <v/>
      </c>
      <c r="E39" s="18">
        <f>COUNTIFS(応募者データ!$C$3:$C$502,"CTS",応募者データ!$K$3:$K$502,"面接調整中")+COUNTIFS(応募者データ!$C$3:$C$502,"CTS",応募者データ!$K$3:$K$502,"面接日確定")+COUNTIFS(応募者データ!$C$3:$C$502,"CTS",応募者データ!$K$3:$K$502,"面接実施済み")</f>
        <v/>
      </c>
      <c r="F39" s="18">
        <f>COUNTIFS(応募者データ!$C$3:$C$502,"CTS",応募者データ!$K$3:$K$502,"面接実施済み")</f>
        <v/>
      </c>
      <c r="G39" s="18">
        <f>COUNTIFS(応募者データ!$C$3:$C$502,"CTS",応募者データ!$M$3:$M$502,"採用")+COUNTIFS(応募者データ!$C$3:$C$502,"CTS",応募者データ!$M$3:$M$502,"入社予定")+COUNTIFS(応募者データ!$C$3:$C$502,"CTS",応募者データ!$M$3:$M$502,"採用辞退")+COUNTIFS(応募者データ!$C$3:$C$502,"CTS",応募者データ!$M$3:$M$502,"入社辞退")</f>
        <v/>
      </c>
      <c r="H39" s="18">
        <f>COUNTIFS(応募者データ!$C$3:$C$502,"CTS",応募者データ!$M$3:$M$502,"採用")+COUNTIFS(応募者データ!$C$3:$C$502,"CTS",応募者データ!$M$3:$M$502,"入社予定")</f>
        <v/>
      </c>
    </row>
    <row r="41" ht="22" customHeight="1">
      <c r="B41" s="3" t="inlineStr">
        <is>
          <t>⑤  拠点別 採用目標 達成状況（承諾＝採用人数）</t>
        </is>
      </c>
    </row>
    <row r="42">
      <c r="B42" s="11" t="inlineStr">
        <is>
          <t>拠点</t>
        </is>
      </c>
      <c r="C42" s="11" t="inlineStr">
        <is>
          <t>採用目標</t>
        </is>
      </c>
      <c r="D42" s="11" t="inlineStr">
        <is>
          <t>承諾実績</t>
        </is>
      </c>
      <c r="E42" s="11" t="inlineStr">
        <is>
          <t>達成率</t>
        </is>
      </c>
    </row>
    <row r="43">
      <c r="B43" s="8" t="inlineStr">
        <is>
          <t>NRT（成田）</t>
        </is>
      </c>
      <c r="C43" s="18">
        <f>$D$5</f>
        <v/>
      </c>
      <c r="D43" s="18">
        <f>H38</f>
        <v/>
      </c>
      <c r="E43" s="14">
        <f>IFERROR(H38/$D$5,"")</f>
        <v/>
      </c>
    </row>
    <row r="44">
      <c r="B44" s="8" t="inlineStr">
        <is>
          <t>CTS（千歳）</t>
        </is>
      </c>
      <c r="C44" s="18">
        <f>$F$5</f>
        <v/>
      </c>
      <c r="D44" s="18">
        <f>H39</f>
        <v/>
      </c>
      <c r="E44" s="14">
        <f>IFERROR(H39/$F$5,"")</f>
        <v/>
      </c>
    </row>
    <row r="45">
      <c r="B45" s="21" t="inlineStr">
        <is>
          <t>合計</t>
        </is>
      </c>
      <c r="C45" s="22">
        <f>$H$5</f>
        <v/>
      </c>
      <c r="D45" s="22">
        <f>H38+H39</f>
        <v/>
      </c>
      <c r="E45" s="23">
        <f>IFERROR((H38+H39)/$H$5,"")</f>
        <v/>
      </c>
    </row>
    <row r="47">
      <c r="B47" s="24" t="inlineStr">
        <is>
          <t>◆ 凡例・定義</t>
        </is>
      </c>
    </row>
    <row r="48">
      <c r="B48" s="25" t="inlineStr">
        <is>
          <t>・黄色セル＝入力。採用目標（NRT/CTSの承諾人数）と歩留まり前提を入れると、各段階の目標を自動で逆算します。</t>
        </is>
      </c>
    </row>
    <row r="49">
      <c r="B49" s="25" t="inlineStr">
        <is>
          <t>・目標列＝承諾目標から逆算（承諾20名→内定25→面接実施42→面接設定50→書類通過72→応募144）。歩留まりを変えれば再計算されます。</t>
        </is>
      </c>
    </row>
    <row r="50">
      <c r="B50" s="25" t="inlineStr">
        <is>
          <t>・実績は［応募者データ］シートから自動集計。担当者は毎日そこを更新するだけです。</t>
        </is>
      </c>
    </row>
    <row r="51">
      <c r="B51" s="25" t="inlineStr">
        <is>
          <t>・前日／前日比は［日次レポート］の最終記録行との差分。毎日EODに1行追記してください。</t>
        </is>
      </c>
    </row>
    <row r="52">
      <c r="B52" s="25" t="inlineStr">
        <is>
          <t>・面接設定＝面接ステータスが「面接調整中／面接日確定／面接実施済み」。面接実施＝「面接実施済み」。</t>
        </is>
      </c>
    </row>
    <row r="53">
      <c r="B53" s="25" t="inlineStr">
        <is>
          <t>・内定＝採用が「採用／入社予定／採用辞退／入社辞退」。承諾＝「採用／入社予定」。</t>
        </is>
      </c>
    </row>
  </sheetData>
  <mergeCells count="20">
    <mergeCell ref="B9:H9"/>
    <mergeCell ref="B49:H49"/>
    <mergeCell ref="D24:G24"/>
    <mergeCell ref="B51:H51"/>
    <mergeCell ref="D23:G23"/>
    <mergeCell ref="B36:H36"/>
    <mergeCell ref="B50:H50"/>
    <mergeCell ref="B26:H26"/>
    <mergeCell ref="B41:H41"/>
    <mergeCell ref="B4:H4"/>
    <mergeCell ref="D20:G20"/>
    <mergeCell ref="B47:H47"/>
    <mergeCell ref="D22:G22"/>
    <mergeCell ref="B18:H18"/>
    <mergeCell ref="B52:H52"/>
    <mergeCell ref="D21:G21"/>
    <mergeCell ref="B2:H2"/>
    <mergeCell ref="B48:H48"/>
    <mergeCell ref="B1:H1"/>
    <mergeCell ref="B53:H53"/>
  </mergeCells>
  <conditionalFormatting sqref="E11:E16">
    <cfRule type="cellIs" priority="1" operator="greaterThanOrEqual" dxfId="0">
      <formula>1</formula>
    </cfRule>
    <cfRule type="cellIs" priority="2" operator="between" dxfId="1">
      <formula>0.7</formula>
      <formula>0.9999</formula>
    </cfRule>
    <cfRule type="cellIs" priority="3" operator="lessThan" dxfId="2">
      <formula>0.7</formula>
    </cfRule>
  </conditionalFormatting>
  <conditionalFormatting sqref="G11:G16">
    <cfRule type="cellIs" priority="4" operator="greaterThan" dxfId="0">
      <formula>0</formula>
    </cfRule>
    <cfRule type="cellIs" priority="5" operator="lessThan" dxfId="3">
      <formula>0</formula>
    </cfRule>
  </conditionalFormatting>
  <conditionalFormatting sqref="E43:E45">
    <cfRule type="cellIs" priority="6" operator="greaterThanOrEqual" dxfId="0">
      <formula>1</formula>
    </cfRule>
    <cfRule type="cellIs" priority="7" operator="between" dxfId="1">
      <formula>0.7</formula>
      <formula>0.9999</formula>
    </cfRule>
    <cfRule type="cellIs" priority="8" operator="lessThan" dxfId="2">
      <formula>0.7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</cols>
  <sheetData>
    <row r="1">
      <c r="A1" s="26" t="inlineStr">
        <is>
          <t>マスタ（プルダウン用リスト）</t>
        </is>
      </c>
    </row>
    <row r="2">
      <c r="A2" s="27" t="inlineStr">
        <is>
          <t>媒体</t>
        </is>
      </c>
      <c r="B2" s="27" t="inlineStr">
        <is>
          <t>基地</t>
        </is>
      </c>
      <c r="C2" s="27" t="inlineStr">
        <is>
          <t>性別</t>
        </is>
      </c>
      <c r="D2" s="27" t="inlineStr">
        <is>
          <t>国籍</t>
        </is>
      </c>
      <c r="E2" s="27" t="inlineStr">
        <is>
          <t>書類選考</t>
        </is>
      </c>
      <c r="F2" s="27" t="inlineStr">
        <is>
          <t>書類NG理由</t>
        </is>
      </c>
      <c r="G2" s="27" t="inlineStr">
        <is>
          <t>面接</t>
        </is>
      </c>
      <c r="H2" s="27" t="inlineStr">
        <is>
          <t>面接NG理由</t>
        </is>
      </c>
      <c r="I2" s="27" t="inlineStr">
        <is>
          <t>採用</t>
        </is>
      </c>
    </row>
    <row r="3">
      <c r="A3" s="28" t="inlineStr">
        <is>
          <t>バイトル</t>
        </is>
      </c>
      <c r="B3" s="28" t="inlineStr">
        <is>
          <t>NRT</t>
        </is>
      </c>
      <c r="C3" s="28" t="inlineStr">
        <is>
          <t>男</t>
        </is>
      </c>
      <c r="D3" s="28" t="inlineStr">
        <is>
          <t>日本</t>
        </is>
      </c>
      <c r="E3" s="28" t="inlineStr">
        <is>
          <t>未対応</t>
        </is>
      </c>
      <c r="F3" s="28" t="inlineStr">
        <is>
          <t>年齢</t>
        </is>
      </c>
      <c r="G3" s="28" t="inlineStr">
        <is>
          <t>未設定</t>
        </is>
      </c>
      <c r="H3" s="28" t="inlineStr">
        <is>
          <t>勤務条件不一致</t>
        </is>
      </c>
      <c r="I3" s="28" t="inlineStr">
        <is>
          <t>選考中</t>
        </is>
      </c>
    </row>
    <row r="4">
      <c r="A4" s="28" t="inlineStr">
        <is>
          <t>マイナビバイト</t>
        </is>
      </c>
      <c r="B4" s="28" t="inlineStr">
        <is>
          <t>CTS</t>
        </is>
      </c>
      <c r="C4" s="28" t="inlineStr">
        <is>
          <t>女</t>
        </is>
      </c>
      <c r="D4" s="28" t="inlineStr">
        <is>
          <t>外国籍</t>
        </is>
      </c>
      <c r="E4" s="28" t="inlineStr">
        <is>
          <t>確認中</t>
        </is>
      </c>
      <c r="F4" s="28" t="inlineStr">
        <is>
          <t>通勤距離</t>
        </is>
      </c>
      <c r="G4" s="28" t="inlineStr">
        <is>
          <t>面接調整中</t>
        </is>
      </c>
      <c r="H4" s="28" t="inlineStr">
        <is>
          <t>シフト条件不一致</t>
        </is>
      </c>
      <c r="I4" s="28" t="inlineStr">
        <is>
          <t>採用</t>
        </is>
      </c>
    </row>
    <row r="5">
      <c r="A5" s="28" t="inlineStr">
        <is>
          <t>ちゃんと</t>
        </is>
      </c>
      <c r="E5" s="28" t="inlineStr">
        <is>
          <t>通過</t>
        </is>
      </c>
      <c r="F5" s="28" t="inlineStr">
        <is>
          <t>国籍</t>
        </is>
      </c>
      <c r="G5" s="28" t="inlineStr">
        <is>
          <t>面接日確定</t>
        </is>
      </c>
      <c r="H5" s="28" t="inlineStr">
        <is>
          <t>経験不足</t>
        </is>
      </c>
      <c r="I5" s="28" t="inlineStr">
        <is>
          <t>不採用</t>
        </is>
      </c>
    </row>
    <row r="6">
      <c r="A6" s="28" t="inlineStr">
        <is>
          <t>社員紹介</t>
        </is>
      </c>
      <c r="E6" s="28" t="inlineStr">
        <is>
          <t>保留</t>
        </is>
      </c>
      <c r="F6" s="28" t="inlineStr">
        <is>
          <t>日本語力</t>
        </is>
      </c>
      <c r="G6" s="28" t="inlineStr">
        <is>
          <t>面接実施済み</t>
        </is>
      </c>
      <c r="H6" s="28" t="inlineStr">
        <is>
          <t>接客適性</t>
        </is>
      </c>
      <c r="I6" s="28" t="inlineStr">
        <is>
          <t>採用辞退</t>
        </is>
      </c>
    </row>
    <row r="7">
      <c r="A7" s="28" t="inlineStr">
        <is>
          <t>HP</t>
        </is>
      </c>
      <c r="E7" s="28" t="inlineStr">
        <is>
          <t>不通過</t>
        </is>
      </c>
      <c r="F7" s="28" t="inlineStr">
        <is>
          <t>英語力</t>
        </is>
      </c>
      <c r="H7" s="28" t="inlineStr">
        <is>
          <t>コミュニケーション</t>
        </is>
      </c>
      <c r="I7" s="28" t="inlineStr">
        <is>
          <t>入社予定</t>
        </is>
      </c>
    </row>
    <row r="8">
      <c r="A8" s="28" t="inlineStr">
        <is>
          <t>その他</t>
        </is>
      </c>
      <c r="E8" s="28" t="inlineStr">
        <is>
          <t>辞退</t>
        </is>
      </c>
      <c r="F8" s="28" t="inlineStr">
        <is>
          <t>勤務時間不一致</t>
        </is>
      </c>
      <c r="H8" s="28" t="inlineStr">
        <is>
          <t>日本語力</t>
        </is>
      </c>
      <c r="I8" s="28" t="inlineStr">
        <is>
          <t>入社辞退</t>
        </is>
      </c>
    </row>
    <row r="9">
      <c r="E9" s="28" t="inlineStr">
        <is>
          <t>連絡不通</t>
        </is>
      </c>
      <c r="F9" s="28" t="inlineStr">
        <is>
          <t>その他</t>
        </is>
      </c>
      <c r="H9" s="28" t="inlineStr">
        <is>
          <t>英語力</t>
        </is>
      </c>
      <c r="I9" s="28" t="inlineStr">
        <is>
          <t>保留</t>
        </is>
      </c>
    </row>
    <row r="10">
      <c r="H10" s="28" t="inlineStr">
        <is>
          <t>航空保安上の要件</t>
        </is>
      </c>
    </row>
    <row r="11">
      <c r="H11" s="28" t="inlineStr">
        <is>
          <t>通勤困難</t>
        </is>
      </c>
    </row>
    <row r="12">
      <c r="H12" s="28" t="inlineStr">
        <is>
          <t>給与条件不一致</t>
        </is>
      </c>
    </row>
    <row r="13">
      <c r="H13" s="28" t="inlineStr">
        <is>
          <t>入社可能時期が合わない</t>
        </is>
      </c>
    </row>
    <row r="14">
      <c r="H14" s="28" t="inlineStr">
        <is>
          <t>他社内定</t>
        </is>
      </c>
    </row>
    <row r="15">
      <c r="H15" s="28" t="inlineStr">
        <is>
          <t>本人辞退</t>
        </is>
      </c>
    </row>
    <row r="16">
      <c r="H16" s="28" t="inlineStr">
        <is>
          <t>総合判断</t>
        </is>
      </c>
    </row>
    <row r="17">
      <c r="H17" s="28" t="inlineStr">
        <is>
          <t>その他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7" customWidth="1" min="3" max="3"/>
    <col width="11" customWidth="1" min="4" max="4"/>
    <col width="16" customWidth="1" min="5" max="5"/>
    <col width="6" customWidth="1" min="6" max="6"/>
    <col width="6" customWidth="1" min="7" max="7"/>
    <col width="8" customWidth="1" min="8" max="8"/>
    <col width="10" customWidth="1" min="9" max="9"/>
    <col width="12" customWidth="1" min="10" max="10"/>
    <col width="12" customWidth="1" min="11" max="11"/>
    <col width="14" customWidth="1" min="12" max="12"/>
    <col width="10" customWidth="1" min="13" max="13"/>
    <col width="26" customWidth="1" min="14" max="14"/>
  </cols>
  <sheetData>
    <row r="1" ht="24" customHeight="1">
      <c r="A1" s="29" t="inlineStr">
        <is>
          <t>応募者データ（明細）　― 毎日ここを更新してください。ダッシュボードは自動集計されます ―</t>
        </is>
      </c>
    </row>
    <row r="2">
      <c r="A2" s="22" t="inlineStr">
        <is>
          <t>No.</t>
        </is>
      </c>
      <c r="B2" s="22" t="inlineStr">
        <is>
          <t>媒体</t>
        </is>
      </c>
      <c r="C2" s="22" t="inlineStr">
        <is>
          <t>基地</t>
        </is>
      </c>
      <c r="D2" s="22" t="inlineStr">
        <is>
          <t>応募日</t>
        </is>
      </c>
      <c r="E2" s="22" t="inlineStr">
        <is>
          <t>氏名</t>
        </is>
      </c>
      <c r="F2" s="22" t="inlineStr">
        <is>
          <t>年齢</t>
        </is>
      </c>
      <c r="G2" s="22" t="inlineStr">
        <is>
          <t>性別</t>
        </is>
      </c>
      <c r="H2" s="22" t="inlineStr">
        <is>
          <t>国籍</t>
        </is>
      </c>
      <c r="I2" s="22" t="inlineStr">
        <is>
          <t>書類選考</t>
        </is>
      </c>
      <c r="J2" s="22" t="inlineStr">
        <is>
          <t>書類NG理由</t>
        </is>
      </c>
      <c r="K2" s="22" t="inlineStr">
        <is>
          <t>面接</t>
        </is>
      </c>
      <c r="L2" s="22" t="inlineStr">
        <is>
          <t>面接NG理由</t>
        </is>
      </c>
      <c r="M2" s="22" t="inlineStr">
        <is>
          <t>採用</t>
        </is>
      </c>
      <c r="N2" s="22" t="inlineStr">
        <is>
          <t>備考</t>
        </is>
      </c>
    </row>
    <row r="3">
      <c r="A3" s="18" t="n">
        <v>1</v>
      </c>
      <c r="B3" s="18" t="inlineStr">
        <is>
          <t>バイトル</t>
        </is>
      </c>
      <c r="C3" s="18" t="inlineStr">
        <is>
          <t>NRT</t>
        </is>
      </c>
      <c r="D3" s="30" t="n">
        <v>46227</v>
      </c>
      <c r="E3" s="28" t="inlineStr">
        <is>
          <t>日高 秀光</t>
        </is>
      </c>
      <c r="F3" s="18" t="n">
        <v>73</v>
      </c>
      <c r="G3" s="18" t="inlineStr">
        <is>
          <t>男</t>
        </is>
      </c>
      <c r="H3" s="18" t="inlineStr">
        <is>
          <t>日本</t>
        </is>
      </c>
      <c r="I3" s="18" t="inlineStr">
        <is>
          <t>不通過</t>
        </is>
      </c>
      <c r="J3" s="28" t="inlineStr">
        <is>
          <t>年齢</t>
        </is>
      </c>
      <c r="K3" s="18" t="inlineStr">
        <is>
          <t>未設定</t>
        </is>
      </c>
      <c r="L3" s="28" t="n"/>
      <c r="M3" s="18" t="inlineStr">
        <is>
          <t>不採用</t>
        </is>
      </c>
      <c r="N3" s="28" t="n"/>
    </row>
    <row r="4">
      <c r="A4" s="18" t="n">
        <v>2</v>
      </c>
      <c r="B4" s="18" t="inlineStr">
        <is>
          <t>バイトル</t>
        </is>
      </c>
      <c r="C4" s="18" t="inlineStr">
        <is>
          <t>NRT</t>
        </is>
      </c>
      <c r="D4" s="30" t="n">
        <v>46230</v>
      </c>
      <c r="E4" s="28" t="inlineStr">
        <is>
          <t>浅利 真弓</t>
        </is>
      </c>
      <c r="F4" s="18" t="n">
        <v>63</v>
      </c>
      <c r="G4" s="18" t="inlineStr">
        <is>
          <t>女</t>
        </is>
      </c>
      <c r="H4" s="18" t="inlineStr">
        <is>
          <t>日本</t>
        </is>
      </c>
      <c r="I4" s="18" t="inlineStr">
        <is>
          <t>不通過</t>
        </is>
      </c>
      <c r="J4" s="28" t="inlineStr">
        <is>
          <t>年齢</t>
        </is>
      </c>
      <c r="K4" s="18" t="inlineStr">
        <is>
          <t>未設定</t>
        </is>
      </c>
      <c r="L4" s="28" t="n"/>
      <c r="M4" s="18" t="inlineStr">
        <is>
          <t>不採用</t>
        </is>
      </c>
      <c r="N4" s="28" t="n"/>
    </row>
    <row r="5">
      <c r="A5" s="18" t="n">
        <v>3</v>
      </c>
      <c r="B5" s="18" t="inlineStr">
        <is>
          <t>バイトル</t>
        </is>
      </c>
      <c r="C5" s="18" t="inlineStr">
        <is>
          <t>NRT</t>
        </is>
      </c>
      <c r="D5" s="30" t="n">
        <v>46231</v>
      </c>
      <c r="E5" s="28" t="inlineStr">
        <is>
          <t>浅木 洋二</t>
        </is>
      </c>
      <c r="F5" s="18" t="n">
        <v>76</v>
      </c>
      <c r="G5" s="18" t="inlineStr">
        <is>
          <t>男</t>
        </is>
      </c>
      <c r="H5" s="18" t="inlineStr">
        <is>
          <t>日本</t>
        </is>
      </c>
      <c r="I5" s="18" t="inlineStr">
        <is>
          <t>不通過</t>
        </is>
      </c>
      <c r="J5" s="28" t="inlineStr">
        <is>
          <t>年齢</t>
        </is>
      </c>
      <c r="K5" s="18" t="inlineStr">
        <is>
          <t>未設定</t>
        </is>
      </c>
      <c r="L5" s="28" t="n"/>
      <c r="M5" s="18" t="inlineStr">
        <is>
          <t>不採用</t>
        </is>
      </c>
      <c r="N5" s="28" t="n"/>
    </row>
    <row r="6">
      <c r="A6" s="18" t="n">
        <v>4</v>
      </c>
      <c r="B6" s="18" t="inlineStr">
        <is>
          <t>バイトル</t>
        </is>
      </c>
      <c r="C6" s="18" t="inlineStr">
        <is>
          <t>NRT</t>
        </is>
      </c>
      <c r="D6" s="30" t="n">
        <v>46231</v>
      </c>
      <c r="E6" s="28" t="inlineStr">
        <is>
          <t>佐伯 幸男</t>
        </is>
      </c>
      <c r="F6" s="18" t="n">
        <v>55</v>
      </c>
      <c r="G6" s="18" t="inlineStr">
        <is>
          <t>男</t>
        </is>
      </c>
      <c r="H6" s="18" t="inlineStr">
        <is>
          <t>日本</t>
        </is>
      </c>
      <c r="I6" s="18" t="inlineStr">
        <is>
          <t>不通過</t>
        </is>
      </c>
      <c r="J6" s="28" t="inlineStr">
        <is>
          <t>年齢</t>
        </is>
      </c>
      <c r="K6" s="18" t="inlineStr">
        <is>
          <t>未設定</t>
        </is>
      </c>
      <c r="L6" s="28" t="n"/>
      <c r="M6" s="18" t="inlineStr">
        <is>
          <t>不採用</t>
        </is>
      </c>
      <c r="N6" s="28" t="n"/>
    </row>
    <row r="7">
      <c r="A7" s="18" t="n">
        <v>5</v>
      </c>
      <c r="B7" s="18" t="inlineStr">
        <is>
          <t>バイトル</t>
        </is>
      </c>
      <c r="C7" s="18" t="inlineStr">
        <is>
          <t>NRT</t>
        </is>
      </c>
      <c r="D7" s="30" t="n">
        <v>46232</v>
      </c>
      <c r="E7" s="28" t="inlineStr">
        <is>
          <t>町田 侑里夏</t>
        </is>
      </c>
      <c r="F7" s="18" t="n">
        <v>21</v>
      </c>
      <c r="G7" s="18" t="inlineStr">
        <is>
          <t>女</t>
        </is>
      </c>
      <c r="H7" s="18" t="inlineStr">
        <is>
          <t>日本</t>
        </is>
      </c>
      <c r="I7" s="18" t="inlineStr">
        <is>
          <t>通過</t>
        </is>
      </c>
      <c r="J7" s="28" t="n"/>
      <c r="K7" s="18" t="inlineStr">
        <is>
          <t>面接調整中</t>
        </is>
      </c>
      <c r="L7" s="28" t="n"/>
      <c r="M7" s="18" t="inlineStr">
        <is>
          <t>選考中</t>
        </is>
      </c>
      <c r="N7" s="28" t="n"/>
    </row>
    <row r="8">
      <c r="A8" s="18" t="n">
        <v>6</v>
      </c>
      <c r="B8" s="18" t="inlineStr">
        <is>
          <t>バイトル</t>
        </is>
      </c>
      <c r="C8" s="18" t="inlineStr">
        <is>
          <t>NRT</t>
        </is>
      </c>
      <c r="D8" s="30" t="n">
        <v>46233</v>
      </c>
      <c r="E8" s="28" t="inlineStr">
        <is>
          <t>三木 祐樹</t>
        </is>
      </c>
      <c r="F8" s="18" t="n">
        <v>38</v>
      </c>
      <c r="G8" s="18" t="inlineStr">
        <is>
          <t>男</t>
        </is>
      </c>
      <c r="H8" s="18" t="inlineStr">
        <is>
          <t>日本</t>
        </is>
      </c>
      <c r="I8" s="18" t="inlineStr">
        <is>
          <t>不通過</t>
        </is>
      </c>
      <c r="J8" s="28" t="inlineStr">
        <is>
          <t>年齢</t>
        </is>
      </c>
      <c r="K8" s="18" t="inlineStr">
        <is>
          <t>未設定</t>
        </is>
      </c>
      <c r="L8" s="28" t="n"/>
      <c r="M8" s="18" t="inlineStr">
        <is>
          <t>不採用</t>
        </is>
      </c>
      <c r="N8" s="28" t="n"/>
    </row>
    <row r="9">
      <c r="A9" s="18" t="n">
        <v>7</v>
      </c>
      <c r="B9" s="18" t="inlineStr">
        <is>
          <t>バイトル</t>
        </is>
      </c>
      <c r="C9" s="18" t="inlineStr">
        <is>
          <t>NRT</t>
        </is>
      </c>
      <c r="D9" s="30" t="n">
        <v>46233</v>
      </c>
      <c r="E9" s="28" t="inlineStr">
        <is>
          <t>金澤 拓也</t>
        </is>
      </c>
      <c r="F9" s="18" t="n">
        <v>19</v>
      </c>
      <c r="G9" s="18" t="inlineStr">
        <is>
          <t>男</t>
        </is>
      </c>
      <c r="H9" s="18" t="inlineStr">
        <is>
          <t>日本</t>
        </is>
      </c>
      <c r="I9" s="18" t="inlineStr">
        <is>
          <t>通過</t>
        </is>
      </c>
      <c r="J9" s="28" t="n"/>
      <c r="K9" s="18" t="inlineStr">
        <is>
          <t>面接調整中</t>
        </is>
      </c>
      <c r="L9" s="28" t="n"/>
      <c r="M9" s="18" t="inlineStr">
        <is>
          <t>選考中</t>
        </is>
      </c>
      <c r="N9" s="28" t="n"/>
    </row>
    <row r="10">
      <c r="A10" s="18" t="n">
        <v>8</v>
      </c>
      <c r="B10" s="18" t="inlineStr">
        <is>
          <t>バイトル</t>
        </is>
      </c>
      <c r="C10" s="18" t="inlineStr">
        <is>
          <t>NRT</t>
        </is>
      </c>
      <c r="D10" s="30" t="n">
        <v>46233</v>
      </c>
      <c r="E10" s="28" t="inlineStr">
        <is>
          <t>NGUYEN NGOC DINH</t>
        </is>
      </c>
      <c r="F10" s="18" t="n">
        <v>25</v>
      </c>
      <c r="G10" s="18" t="inlineStr">
        <is>
          <t>男</t>
        </is>
      </c>
      <c r="H10" s="18" t="inlineStr">
        <is>
          <t>外国籍</t>
        </is>
      </c>
      <c r="I10" s="18" t="inlineStr">
        <is>
          <t>不通過</t>
        </is>
      </c>
      <c r="J10" s="28" t="inlineStr">
        <is>
          <t>日本語力</t>
        </is>
      </c>
      <c r="K10" s="18" t="inlineStr">
        <is>
          <t>未設定</t>
        </is>
      </c>
      <c r="L10" s="28" t="n"/>
      <c r="M10" s="18" t="inlineStr">
        <is>
          <t>不採用</t>
        </is>
      </c>
      <c r="N10" s="28" t="inlineStr">
        <is>
          <t>N3</t>
        </is>
      </c>
    </row>
    <row r="11">
      <c r="A11" s="18" t="n">
        <v>9</v>
      </c>
      <c r="B11" s="18" t="inlineStr">
        <is>
          <t>バイトル</t>
        </is>
      </c>
      <c r="C11" s="18" t="inlineStr">
        <is>
          <t>NRT</t>
        </is>
      </c>
      <c r="D11" s="30" t="n">
        <v>46236</v>
      </c>
      <c r="E11" s="28" t="inlineStr">
        <is>
          <t>Hashini Navodya</t>
        </is>
      </c>
      <c r="F11" s="18" t="n">
        <v>21</v>
      </c>
      <c r="G11" s="18" t="inlineStr">
        <is>
          <t>女</t>
        </is>
      </c>
      <c r="H11" s="18" t="inlineStr">
        <is>
          <t>外国籍</t>
        </is>
      </c>
      <c r="I11" s="18" t="inlineStr">
        <is>
          <t>確認中</t>
        </is>
      </c>
      <c r="J11" s="28" t="n"/>
      <c r="K11" s="18" t="inlineStr">
        <is>
          <t>未設定</t>
        </is>
      </c>
      <c r="L11" s="28" t="n"/>
      <c r="M11" s="18" t="inlineStr">
        <is>
          <t>選考中</t>
        </is>
      </c>
      <c r="N11" s="28" t="n"/>
    </row>
    <row r="12">
      <c r="A12" s="18" t="n">
        <v>10</v>
      </c>
      <c r="B12" s="18" t="inlineStr">
        <is>
          <t>バイトル</t>
        </is>
      </c>
      <c r="C12" s="18" t="inlineStr">
        <is>
          <t>NRT</t>
        </is>
      </c>
      <c r="D12" s="30" t="n">
        <v>46236</v>
      </c>
      <c r="E12" s="28" t="inlineStr">
        <is>
          <t>JARGALBAYAR ENKHBAYAN</t>
        </is>
      </c>
      <c r="F12" s="18" t="n">
        <v>21</v>
      </c>
      <c r="G12" s="18" t="inlineStr">
        <is>
          <t>男</t>
        </is>
      </c>
      <c r="H12" s="18" t="inlineStr">
        <is>
          <t>外国籍</t>
        </is>
      </c>
      <c r="I12" s="18" t="inlineStr">
        <is>
          <t>確認中</t>
        </is>
      </c>
      <c r="J12" s="28" t="n"/>
      <c r="K12" s="18" t="inlineStr">
        <is>
          <t>未設定</t>
        </is>
      </c>
      <c r="L12" s="28" t="n"/>
      <c r="M12" s="18" t="inlineStr">
        <is>
          <t>選考中</t>
        </is>
      </c>
      <c r="N12" s="28" t="n"/>
    </row>
    <row r="13">
      <c r="A13" s="18" t="n">
        <v>11</v>
      </c>
      <c r="B13" s="18" t="inlineStr">
        <is>
          <t>バイトル</t>
        </is>
      </c>
      <c r="C13" s="18" t="inlineStr">
        <is>
          <t>NRT</t>
        </is>
      </c>
      <c r="D13" s="30" t="n">
        <v>46237</v>
      </c>
      <c r="E13" s="28" t="inlineStr">
        <is>
          <t>坂本 隼斗</t>
        </is>
      </c>
      <c r="F13" s="18" t="n">
        <v>24</v>
      </c>
      <c r="G13" s="18" t="inlineStr">
        <is>
          <t>男</t>
        </is>
      </c>
      <c r="H13" s="18" t="inlineStr">
        <is>
          <t>日本</t>
        </is>
      </c>
      <c r="I13" s="18" t="inlineStr">
        <is>
          <t>確認中</t>
        </is>
      </c>
      <c r="J13" s="28" t="n"/>
      <c r="K13" s="18" t="inlineStr">
        <is>
          <t>未設定</t>
        </is>
      </c>
      <c r="L13" s="28" t="n"/>
      <c r="M13" s="18" t="inlineStr">
        <is>
          <t>選考中</t>
        </is>
      </c>
      <c r="N13" s="28" t="n"/>
    </row>
    <row r="14">
      <c r="A14" s="18" t="n">
        <v>12</v>
      </c>
      <c r="B14" s="18" t="inlineStr">
        <is>
          <t>バイトル</t>
        </is>
      </c>
      <c r="C14" s="18" t="inlineStr">
        <is>
          <t>CTS</t>
        </is>
      </c>
      <c r="D14" s="30" t="n">
        <v>46236</v>
      </c>
      <c r="E14" s="28" t="inlineStr">
        <is>
          <t>Hashini Navodya</t>
        </is>
      </c>
      <c r="F14" s="18" t="n">
        <v>21</v>
      </c>
      <c r="G14" s="18" t="inlineStr">
        <is>
          <t>女</t>
        </is>
      </c>
      <c r="H14" s="18" t="inlineStr">
        <is>
          <t>外国籍</t>
        </is>
      </c>
      <c r="I14" s="18" t="inlineStr">
        <is>
          <t>確認中</t>
        </is>
      </c>
      <c r="J14" s="28" t="n"/>
      <c r="K14" s="18" t="inlineStr">
        <is>
          <t>未設定</t>
        </is>
      </c>
      <c r="L14" s="28" t="n"/>
      <c r="M14" s="18" t="inlineStr">
        <is>
          <t>選考中</t>
        </is>
      </c>
      <c r="N14" s="28" t="n"/>
    </row>
    <row r="15">
      <c r="A15" s="18" t="n">
        <v>13</v>
      </c>
      <c r="B15" s="18" t="inlineStr">
        <is>
          <t>マイナビバイト</t>
        </is>
      </c>
      <c r="C15" s="18" t="inlineStr">
        <is>
          <t>CTS</t>
        </is>
      </c>
      <c r="D15" s="30" t="n">
        <v>46233</v>
      </c>
      <c r="E15" s="28" t="inlineStr">
        <is>
          <t>竹内 愛</t>
        </is>
      </c>
      <c r="F15" s="18" t="n">
        <v>33</v>
      </c>
      <c r="G15" s="18" t="inlineStr">
        <is>
          <t>女</t>
        </is>
      </c>
      <c r="H15" s="18" t="inlineStr">
        <is>
          <t>日本</t>
        </is>
      </c>
      <c r="I15" s="18" t="inlineStr">
        <is>
          <t>確認中</t>
        </is>
      </c>
      <c r="J15" s="28" t="n"/>
      <c r="K15" s="18" t="inlineStr">
        <is>
          <t>未設定</t>
        </is>
      </c>
      <c r="L15" s="28" t="n"/>
      <c r="M15" s="18" t="inlineStr">
        <is>
          <t>選考中</t>
        </is>
      </c>
      <c r="N15" s="28" t="n"/>
    </row>
    <row r="16">
      <c r="A16" s="18" t="n">
        <v>14</v>
      </c>
      <c r="B16" s="18" t="inlineStr">
        <is>
          <t>マイナビバイト</t>
        </is>
      </c>
      <c r="C16" s="18" t="inlineStr">
        <is>
          <t>CTS</t>
        </is>
      </c>
      <c r="D16" s="30" t="n">
        <v>46233</v>
      </c>
      <c r="E16" s="28" t="inlineStr">
        <is>
          <t>高砂 琴音</t>
        </is>
      </c>
      <c r="F16" s="18" t="n">
        <v>18</v>
      </c>
      <c r="G16" s="18" t="inlineStr">
        <is>
          <t>女</t>
        </is>
      </c>
      <c r="H16" s="18" t="inlineStr">
        <is>
          <t>日本</t>
        </is>
      </c>
      <c r="I16" s="18" t="inlineStr">
        <is>
          <t>確認中</t>
        </is>
      </c>
      <c r="J16" s="28" t="n"/>
      <c r="K16" s="18" t="inlineStr">
        <is>
          <t>未設定</t>
        </is>
      </c>
      <c r="L16" s="28" t="n"/>
      <c r="M16" s="18" t="inlineStr">
        <is>
          <t>選考中</t>
        </is>
      </c>
      <c r="N16" s="28" t="inlineStr">
        <is>
          <t>高校生だが外航のGATE経験者の可能性あり</t>
        </is>
      </c>
    </row>
  </sheetData>
  <mergeCells count="1">
    <mergeCell ref="A1:N1"/>
  </mergeCells>
  <dataValidations count="9">
    <dataValidation sqref="B3:B502" showDropDown="0" showInputMessage="0" showErrorMessage="0" allowBlank="1" type="list">
      <formula1>=マスタ!$A$3:$A$8</formula1>
    </dataValidation>
    <dataValidation sqref="C3:C502" showDropDown="0" showInputMessage="0" showErrorMessage="0" allowBlank="1" type="list">
      <formula1>=マスタ!$B$3:$B$4</formula1>
    </dataValidation>
    <dataValidation sqref="G3:G502" showDropDown="0" showInputMessage="0" showErrorMessage="0" allowBlank="1" type="list">
      <formula1>=マスタ!$C$3:$C$4</formula1>
    </dataValidation>
    <dataValidation sqref="H3:H502" showDropDown="0" showInputMessage="0" showErrorMessage="0" allowBlank="1" type="list">
      <formula1>=マスタ!$D$3:$D$4</formula1>
    </dataValidation>
    <dataValidation sqref="I3:I502" showDropDown="0" showInputMessage="0" showErrorMessage="0" allowBlank="1" type="list">
      <formula1>=マスタ!$E$3:$E$9</formula1>
    </dataValidation>
    <dataValidation sqref="J3:J502" showDropDown="0" showInputMessage="0" showErrorMessage="0" allowBlank="1" type="list">
      <formula1>=マスタ!$F$3:$F$9</formula1>
    </dataValidation>
    <dataValidation sqref="K3:K502" showDropDown="0" showInputMessage="0" showErrorMessage="0" allowBlank="1" type="list">
      <formula1>=マスタ!$G$3:$G$6</formula1>
    </dataValidation>
    <dataValidation sqref="L3:L502" showDropDown="0" showInputMessage="0" showErrorMessage="0" allowBlank="1" type="list">
      <formula1>=マスタ!$H$3:$H$17</formula1>
    </dataValidation>
    <dataValidation sqref="M3:M502" showDropDown="0" showInputMessage="0" showErrorMessage="0" allowBlank="1" type="list">
      <formula1>=マスタ!$I$3:$I$9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7" customWidth="1" min="6" max="6"/>
    <col width="7" customWidth="1" min="7" max="7"/>
    <col width="12" customWidth="1" min="8" max="8"/>
    <col width="30" customWidth="1" min="9" max="9"/>
    <col width="14" customWidth="1" min="11" max="11"/>
    <col width="9" customWidth="1" min="12" max="12"/>
  </cols>
  <sheetData>
    <row r="1" ht="24" customHeight="1">
      <c r="A1" s="29" t="inlineStr">
        <is>
          <t>日次レポート（毎日 EOD に担当者が1行追記）</t>
        </is>
      </c>
    </row>
    <row r="2" ht="30" customHeight="1">
      <c r="A2" s="31" t="inlineStr">
        <is>
          <t>使い方：応募者データを更新後、当日の累計値を下表に1行追記します（右の「現在の累計値」を転記でOK）。ダッシュボードの前日比・推移グラフに自動反映されます。灰色の行はサンプルです。実データ入力時に削除してください。</t>
        </is>
      </c>
    </row>
    <row r="3">
      <c r="A3" s="22" t="inlineStr">
        <is>
          <t>日付</t>
        </is>
      </c>
      <c r="B3" s="22" t="inlineStr">
        <is>
          <t>応募数</t>
        </is>
      </c>
      <c r="C3" s="22" t="inlineStr">
        <is>
          <t>書類通過</t>
        </is>
      </c>
      <c r="D3" s="22" t="inlineStr">
        <is>
          <t>面接設定</t>
        </is>
      </c>
      <c r="E3" s="22" t="inlineStr">
        <is>
          <t>面接実施</t>
        </is>
      </c>
      <c r="F3" s="22" t="inlineStr">
        <is>
          <t>内定</t>
        </is>
      </c>
      <c r="G3" s="22" t="inlineStr">
        <is>
          <t>承諾</t>
        </is>
      </c>
      <c r="H3" s="22" t="inlineStr">
        <is>
          <t>担当者</t>
        </is>
      </c>
      <c r="I3" s="22" t="inlineStr">
        <is>
          <t>備考</t>
        </is>
      </c>
      <c r="K3" s="32" t="inlineStr">
        <is>
          <t>現在の累計値（自動）</t>
        </is>
      </c>
    </row>
    <row r="4">
      <c r="A4" s="33" t="n">
        <v>46234</v>
      </c>
      <c r="B4" s="34" t="n">
        <v>12</v>
      </c>
      <c r="C4" s="34" t="n">
        <v>1</v>
      </c>
      <c r="D4" s="34" t="n">
        <v>1</v>
      </c>
      <c r="E4" s="34" t="n">
        <v>0</v>
      </c>
      <c r="F4" s="34" t="n">
        <v>0</v>
      </c>
      <c r="G4" s="34" t="n">
        <v>0</v>
      </c>
      <c r="H4" s="35" t="inlineStr">
        <is>
          <t>（サンプル）</t>
        </is>
      </c>
      <c r="I4" s="35" t="inlineStr">
        <is>
          <t>← サンプル：削除して実データを入力</t>
        </is>
      </c>
      <c r="K4" s="36" t="inlineStr">
        <is>
          <t>応募数</t>
        </is>
      </c>
      <c r="L4" s="18">
        <f>COUNTA(応募者データ!$E$3:$E$502)</f>
        <v/>
      </c>
    </row>
    <row r="5">
      <c r="A5" s="33" t="n">
        <v>46235</v>
      </c>
      <c r="B5" s="34" t="n">
        <v>13</v>
      </c>
      <c r="C5" s="34" t="n">
        <v>2</v>
      </c>
      <c r="D5" s="34" t="n">
        <v>2</v>
      </c>
      <c r="E5" s="34" t="n">
        <v>0</v>
      </c>
      <c r="F5" s="34" t="n">
        <v>0</v>
      </c>
      <c r="G5" s="34" t="n">
        <v>0</v>
      </c>
      <c r="H5" s="35" t="inlineStr">
        <is>
          <t>（サンプル）</t>
        </is>
      </c>
      <c r="I5" s="35" t="inlineStr"/>
      <c r="K5" s="36" t="inlineStr">
        <is>
          <t>書類通過</t>
        </is>
      </c>
      <c r="L5" s="18">
        <f>COUNTIF(応募者データ!$I$3:$I$502,"通過")</f>
        <v/>
      </c>
    </row>
    <row r="6">
      <c r="A6" s="33" t="n">
        <v>46236</v>
      </c>
      <c r="B6" s="34" t="n">
        <v>14</v>
      </c>
      <c r="C6" s="34" t="n">
        <v>2</v>
      </c>
      <c r="D6" s="34" t="n">
        <v>2</v>
      </c>
      <c r="E6" s="34" t="n">
        <v>0</v>
      </c>
      <c r="F6" s="34" t="n">
        <v>0</v>
      </c>
      <c r="G6" s="34" t="n">
        <v>0</v>
      </c>
      <c r="H6" s="35" t="inlineStr">
        <is>
          <t>（サンプル）</t>
        </is>
      </c>
      <c r="I6" s="35" t="inlineStr"/>
      <c r="K6" s="36" t="inlineStr">
        <is>
          <t>面接設定</t>
        </is>
      </c>
      <c r="L6" s="18">
        <f>COUNTIF(応募者データ!$K$3:$K$502,"面接調整中")+COUNTIF(応募者データ!$K$3:$K$502,"面接日確定")+COUNTIF(応募者データ!$K$3:$K$502,"面接実施済み")</f>
        <v/>
      </c>
    </row>
    <row r="7">
      <c r="A7" s="37" t="n"/>
      <c r="B7" s="17" t="n"/>
      <c r="C7" s="17" t="n"/>
      <c r="D7" s="17" t="n"/>
      <c r="E7" s="17" t="n"/>
      <c r="F7" s="17" t="n"/>
      <c r="G7" s="17" t="n"/>
      <c r="H7" s="17" t="n"/>
      <c r="I7" s="17" t="n"/>
      <c r="K7" s="36" t="inlineStr">
        <is>
          <t>面接実施</t>
        </is>
      </c>
      <c r="L7" s="18">
        <f>COUNTIF(応募者データ!$K$3:$K$502,"面接実施済み")</f>
        <v/>
      </c>
    </row>
    <row r="8">
      <c r="A8" s="37" t="n"/>
      <c r="B8" s="17" t="n"/>
      <c r="C8" s="17" t="n"/>
      <c r="D8" s="17" t="n"/>
      <c r="E8" s="17" t="n"/>
      <c r="F8" s="17" t="n"/>
      <c r="G8" s="17" t="n"/>
      <c r="H8" s="17" t="n"/>
      <c r="I8" s="17" t="n"/>
      <c r="K8" s="36" t="inlineStr">
        <is>
          <t>内定</t>
        </is>
      </c>
      <c r="L8" s="18">
        <f>COUNTIF(応募者データ!$M$3:$M$502,"採用")+COUNTIF(応募者データ!$M$3:$M$502,"入社予定")+COUNTIF(応募者データ!$M$3:$M$502,"採用辞退")+COUNTIF(応募者データ!$M$3:$M$502,"入社辞退")</f>
        <v/>
      </c>
    </row>
    <row r="9">
      <c r="A9" s="37" t="n"/>
      <c r="B9" s="17" t="n"/>
      <c r="C9" s="17" t="n"/>
      <c r="D9" s="17" t="n"/>
      <c r="E9" s="17" t="n"/>
      <c r="F9" s="17" t="n"/>
      <c r="G9" s="17" t="n"/>
      <c r="H9" s="17" t="n"/>
      <c r="I9" s="17" t="n"/>
      <c r="K9" s="36" t="inlineStr">
        <is>
          <t>承諾</t>
        </is>
      </c>
      <c r="L9" s="18">
        <f>COUNTIF(応募者データ!$M$3:$M$502,"採用")+COUNTIF(応募者データ!$M$3:$M$502,"入社予定")</f>
        <v/>
      </c>
    </row>
    <row r="10">
      <c r="A10" s="37" t="n"/>
      <c r="B10" s="17" t="n"/>
      <c r="C10" s="17" t="n"/>
      <c r="D10" s="17" t="n"/>
      <c r="E10" s="17" t="n"/>
      <c r="F10" s="17" t="n"/>
      <c r="G10" s="17" t="n"/>
      <c r="H10" s="17" t="n"/>
      <c r="I10" s="17" t="n"/>
    </row>
    <row r="11">
      <c r="A11" s="37" t="n"/>
      <c r="B11" s="17" t="n"/>
      <c r="C11" s="17" t="n"/>
      <c r="D11" s="17" t="n"/>
      <c r="E11" s="17" t="n"/>
      <c r="F11" s="17" t="n"/>
      <c r="G11" s="17" t="n"/>
      <c r="H11" s="17" t="n"/>
      <c r="I11" s="17" t="n"/>
    </row>
    <row r="12">
      <c r="A12" s="37" t="n"/>
      <c r="B12" s="17" t="n"/>
      <c r="C12" s="17" t="n"/>
      <c r="D12" s="17" t="n"/>
      <c r="E12" s="17" t="n"/>
      <c r="F12" s="17" t="n"/>
      <c r="G12" s="17" t="n"/>
      <c r="H12" s="17" t="n"/>
      <c r="I12" s="17" t="n"/>
    </row>
    <row r="13">
      <c r="A13" s="37" t="n"/>
      <c r="B13" s="17" t="n"/>
      <c r="C13" s="17" t="n"/>
      <c r="D13" s="17" t="n"/>
      <c r="E13" s="17" t="n"/>
      <c r="F13" s="17" t="n"/>
      <c r="G13" s="17" t="n"/>
      <c r="H13" s="17" t="n"/>
      <c r="I13" s="17" t="n"/>
    </row>
    <row r="14">
      <c r="A14" s="37" t="n"/>
      <c r="B14" s="17" t="n"/>
      <c r="C14" s="17" t="n"/>
      <c r="D14" s="17" t="n"/>
      <c r="E14" s="17" t="n"/>
      <c r="F14" s="17" t="n"/>
      <c r="G14" s="17" t="n"/>
      <c r="H14" s="17" t="n"/>
      <c r="I14" s="17" t="n"/>
    </row>
    <row r="15">
      <c r="A15" s="37" t="n"/>
      <c r="B15" s="17" t="n"/>
      <c r="C15" s="17" t="n"/>
      <c r="D15" s="17" t="n"/>
      <c r="E15" s="17" t="n"/>
      <c r="F15" s="17" t="n"/>
      <c r="G15" s="17" t="n"/>
      <c r="H15" s="17" t="n"/>
      <c r="I15" s="17" t="n"/>
    </row>
    <row r="16">
      <c r="A16" s="37" t="n"/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>
      <c r="A17" s="37" t="n"/>
      <c r="B17" s="17" t="n"/>
      <c r="C17" s="17" t="n"/>
      <c r="D17" s="17" t="n"/>
      <c r="E17" s="17" t="n"/>
      <c r="F17" s="17" t="n"/>
      <c r="G17" s="17" t="n"/>
      <c r="H17" s="17" t="n"/>
      <c r="I17" s="17" t="n"/>
    </row>
    <row r="18">
      <c r="A18" s="37" t="n"/>
      <c r="B18" s="17" t="n"/>
      <c r="C18" s="17" t="n"/>
      <c r="D18" s="17" t="n"/>
      <c r="E18" s="17" t="n"/>
      <c r="F18" s="17" t="n"/>
      <c r="G18" s="17" t="n"/>
      <c r="H18" s="17" t="n"/>
      <c r="I18" s="17" t="n"/>
    </row>
    <row r="19">
      <c r="A19" s="37" t="n"/>
      <c r="B19" s="17" t="n"/>
      <c r="C19" s="17" t="n"/>
      <c r="D19" s="17" t="n"/>
      <c r="E19" s="17" t="n"/>
      <c r="F19" s="17" t="n"/>
      <c r="G19" s="17" t="n"/>
      <c r="H19" s="17" t="n"/>
      <c r="I19" s="17" t="n"/>
    </row>
    <row r="20">
      <c r="A20" s="37" t="n"/>
      <c r="B20" s="17" t="n"/>
      <c r="C20" s="17" t="n"/>
      <c r="D20" s="17" t="n"/>
      <c r="E20" s="17" t="n"/>
      <c r="F20" s="17" t="n"/>
      <c r="G20" s="17" t="n"/>
      <c r="H20" s="17" t="n"/>
      <c r="I20" s="17" t="n"/>
    </row>
    <row r="21">
      <c r="A21" s="37" t="n"/>
      <c r="B21" s="17" t="n"/>
      <c r="C21" s="17" t="n"/>
      <c r="D21" s="17" t="n"/>
      <c r="E21" s="17" t="n"/>
      <c r="F21" s="17" t="n"/>
      <c r="G21" s="17" t="n"/>
      <c r="H21" s="17" t="n"/>
      <c r="I21" s="17" t="n"/>
    </row>
    <row r="22">
      <c r="A22" s="37" t="n"/>
      <c r="B22" s="17" t="n"/>
      <c r="C22" s="17" t="n"/>
      <c r="D22" s="17" t="n"/>
      <c r="E22" s="17" t="n"/>
      <c r="F22" s="17" t="n"/>
      <c r="G22" s="17" t="n"/>
      <c r="H22" s="17" t="n"/>
      <c r="I22" s="17" t="n"/>
    </row>
    <row r="23">
      <c r="A23" s="37" t="n"/>
      <c r="B23" s="17" t="n"/>
      <c r="C23" s="17" t="n"/>
      <c r="D23" s="17" t="n"/>
      <c r="E23" s="17" t="n"/>
      <c r="F23" s="17" t="n"/>
      <c r="G23" s="17" t="n"/>
      <c r="H23" s="17" t="n"/>
      <c r="I23" s="17" t="n"/>
    </row>
    <row r="24">
      <c r="A24" s="37" t="n"/>
      <c r="B24" s="17" t="n"/>
      <c r="C24" s="17" t="n"/>
      <c r="D24" s="17" t="n"/>
      <c r="E24" s="17" t="n"/>
      <c r="F24" s="17" t="n"/>
      <c r="G24" s="17" t="n"/>
      <c r="H24" s="17" t="n"/>
      <c r="I24" s="17" t="n"/>
    </row>
    <row r="25">
      <c r="A25" s="37" t="n"/>
      <c r="B25" s="17" t="n"/>
      <c r="C25" s="17" t="n"/>
      <c r="D25" s="17" t="n"/>
      <c r="E25" s="17" t="n"/>
      <c r="F25" s="17" t="n"/>
      <c r="G25" s="17" t="n"/>
      <c r="H25" s="17" t="n"/>
      <c r="I25" s="17" t="n"/>
    </row>
    <row r="26">
      <c r="A26" s="37" t="n"/>
      <c r="B26" s="17" t="n"/>
      <c r="C26" s="17" t="n"/>
      <c r="D26" s="17" t="n"/>
      <c r="E26" s="17" t="n"/>
      <c r="F26" s="17" t="n"/>
      <c r="G26" s="17" t="n"/>
      <c r="H26" s="17" t="n"/>
      <c r="I26" s="17" t="n"/>
    </row>
  </sheetData>
  <mergeCells count="3">
    <mergeCell ref="A1:I1"/>
    <mergeCell ref="A2:I2"/>
    <mergeCell ref="K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2026-08-03T06:57:58Z</dcterms:created>
  <dcterms:modified xsi:type="dcterms:W3CDTF">2026-08-03T06:57:58Z</dcterms:modified>
</cp:coreProperties>
</file>