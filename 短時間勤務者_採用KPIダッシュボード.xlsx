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社長報告" sheetId="1" state="visible" r:id="rId1"/>
    <sheet name="KPIダッシュボード" sheetId="2" state="visible" r:id="rId2"/>
    <sheet name="日次レポート" sheetId="3" state="visible" r:id="rId3"/>
    <sheet name="応募者データ" sheetId="4" state="visible" r:id="rId4"/>
    <sheet name="マスタ" sheetId="5" state="visible" r:id="rId5"/>
  </sheets>
  <definedNames>
    <definedName name="_xlnm.Print_Area" localSheetId="0">'社長報告'!$A$1:$G$46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0.0%"/>
    <numFmt numFmtId="166" formatCode="+#,##0;-#,##0;0"/>
  </numFmts>
  <fonts count="22">
    <font>
      <name val="Calibri"/>
      <family val="2"/>
      <color theme="1"/>
      <sz val="11"/>
      <scheme val="minor"/>
    </font>
    <font>
      <name val="Meiryo"/>
      <b val="1"/>
      <color rgb="002E5496"/>
      <sz val="13"/>
    </font>
    <font>
      <name val="Meiryo"/>
      <b val="1"/>
      <color rgb="00FFFFFF"/>
      <sz val="11"/>
    </font>
    <font>
      <name val="Meiryo"/>
      <color rgb="001A1A1A"/>
      <sz val="10"/>
    </font>
    <font>
      <name val="Meiryo"/>
      <b val="1"/>
      <color rgb="00FFFFFF"/>
      <sz val="12"/>
    </font>
    <font>
      <name val="Meiryo"/>
      <b val="1"/>
      <color rgb="00FFFFFF"/>
      <sz val="10"/>
    </font>
    <font>
      <name val="Meiryo"/>
      <i val="1"/>
      <color rgb="00808080"/>
      <sz val="9"/>
    </font>
    <font>
      <name val="Meiryo"/>
      <i val="1"/>
      <color rgb="00808080"/>
      <sz val="10"/>
    </font>
    <font>
      <name val="Meiryo"/>
      <b val="1"/>
      <color rgb="001A1A1A"/>
      <sz val="10"/>
    </font>
    <font>
      <name val="Meiryo"/>
      <b val="1"/>
      <color rgb="00FFFFFF"/>
      <sz val="18"/>
    </font>
    <font>
      <name val="Meiryo"/>
      <color rgb="00FFFFFF"/>
      <sz val="10"/>
    </font>
    <font>
      <name val="Meiryo"/>
      <b val="1"/>
      <color rgb="001A1A1A"/>
      <sz val="11"/>
    </font>
    <font>
      <name val="Meiryo"/>
      <b val="1"/>
      <color rgb="000000FF"/>
      <sz val="11"/>
    </font>
    <font>
      <name val="Meiryo"/>
      <color rgb="00808080"/>
      <sz val="9"/>
    </font>
    <font>
      <name val="Meiryo"/>
      <color rgb="001A1A1A"/>
      <sz val="11"/>
    </font>
    <font>
      <name val="Meiryo"/>
      <b val="1"/>
      <color rgb="002E5496"/>
      <sz val="11"/>
    </font>
    <font>
      <name val="Meiryo"/>
      <b val="1"/>
      <color rgb="002E5496"/>
      <sz val="10"/>
    </font>
    <font>
      <name val="Meiryo"/>
      <b val="1"/>
      <color rgb="001F3864"/>
      <sz val="22"/>
    </font>
    <font>
      <name val="Meiryo"/>
      <b val="1"/>
      <color rgb="00FFFFFF"/>
      <sz val="9"/>
    </font>
    <font>
      <name val="Meiryo"/>
      <color rgb="001A1A1A"/>
      <sz val="9"/>
    </font>
    <font>
      <name val="Meiryo"/>
      <b val="1"/>
      <color rgb="001A1A1A"/>
      <sz val="9"/>
    </font>
    <font>
      <name val="Meiryo"/>
      <color rgb="000000FF"/>
      <sz val="10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808080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9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7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8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 wrapText="1"/>
    </xf>
    <xf numFmtId="9" fontId="19" fillId="0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left" vertical="top" wrapText="1"/>
    </xf>
    <xf numFmtId="0" fontId="9" fillId="3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12" fillId="7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9" fontId="12" fillId="7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5" fontId="15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center" vertical="center" wrapText="1"/>
    </xf>
    <xf numFmtId="164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164" fontId="0" fillId="0" borderId="1" pivotButton="0" quotePrefix="0" xfId="0"/>
    <xf numFmtId="164" fontId="3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name val="Meiryo"/>
        <b val="1"/>
        <color rgb="00006100"/>
      </font>
      <fill>
        <patternFill patternType="solid">
          <fgColor rgb="00C6EFCE"/>
        </patternFill>
      </fill>
    </dxf>
    <dxf>
      <font>
        <name val="Meiryo"/>
        <color rgb="009C6500"/>
      </font>
      <fill>
        <patternFill patternType="solid">
          <fgColor rgb="00FFEB9C"/>
        </patternFill>
      </fill>
    </dxf>
    <dxf>
      <font>
        <name val="Meiryo"/>
        <color rgb="009C0006"/>
      </font>
      <fill>
        <patternFill patternType="solid">
          <fgColor rgb="00FFC7CE"/>
        </patternFill>
      </fill>
    </dxf>
    <dxf>
      <font>
        <name val="Meiryo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採用ファネル（実績）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'KPIダッシュボード'!$B$11:$B$16</f>
            </numRef>
          </cat>
          <val>
            <numRef>
              <f>'KPIダッシュボード'!$D$11:$D$16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媒体別 応募数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'KPIダッシュボード'!C27</f>
            </strRef>
          </tx>
          <spPr>
            <a:ln>
              <a:prstDash val="solid"/>
            </a:ln>
          </spPr>
          <cat>
            <numRef>
              <f>'KPIダッシュボード'!$B$28:$B$33</f>
            </numRef>
          </cat>
          <val>
            <numRef>
              <f>'KPIダッシュボード'!$C$28:$C$33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推移（日次）</a:t>
            </a:r>
          </a:p>
        </rich>
      </tx>
    </title>
    <plotArea>
      <lineChart>
        <grouping val="standard"/>
        <ser>
          <idx val="0"/>
          <order val="0"/>
          <tx>
            <strRef>
              <f>'日次レポート'!B3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'日次レポート'!$A$4:$A$16</f>
            </numRef>
          </cat>
          <val>
            <numRef>
              <f>'日次レポート'!$B$4:$B$16</f>
            </numRef>
          </val>
        </ser>
        <ser>
          <idx val="1"/>
          <order val="1"/>
          <tx>
            <strRef>
              <f>'日次レポート'!C3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'日次レポート'!$A$4:$A$16</f>
            </numRef>
          </cat>
          <val>
            <numRef>
              <f>'日次レポート'!$C$4:$C$16</f>
            </numRef>
          </val>
        </ser>
        <ser>
          <idx val="2"/>
          <order val="2"/>
          <tx>
            <strRef>
              <f>'日次レポート'!D3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'日次レポート'!$A$4:$A$16</f>
            </numRef>
          </cat>
          <val>
            <numRef>
              <f>'日次レポート'!$D$4:$D$16</f>
            </numRef>
          </val>
        </ser>
        <ser>
          <idx val="3"/>
          <order val="3"/>
          <tx>
            <strRef>
              <f>'日次レポート'!E3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'日次レポート'!$A$4:$A$16</f>
            </numRef>
          </cat>
          <val>
            <numRef>
              <f>'日次レポート'!$E$4:$E$16</f>
            </numRef>
          </val>
        </ser>
        <ser>
          <idx val="4"/>
          <order val="4"/>
          <tx>
            <strRef>
              <f>'日次レポート'!F3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'日次レポート'!$A$4:$A$16</f>
            </numRef>
          </cat>
          <val>
            <numRef>
              <f>'日次レポート'!$F$4:$F$16</f>
            </numRef>
          </val>
        </ser>
        <ser>
          <idx val="5"/>
          <order val="5"/>
          <tx>
            <strRef>
              <f>'日次レポート'!G3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'日次レポート'!$A$4:$A$16</f>
            </numRef>
          </cat>
          <val>
            <numRef>
              <f>'日次レポート'!$G$4:$G$16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年齢分布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'KPIダッシュボード'!$B$72:$B$77</f>
            </numRef>
          </cat>
          <val>
            <numRef>
              <f>'KPIダッシュボード'!$C$71:$C$77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19</row>
      <rowOff>0</rowOff>
    </from>
    <ext cx="43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35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51</row>
      <rowOff>0</rowOff>
    </from>
    <ext cx="432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H4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32" customHeight="1">
      <c r="B1" s="1" t="inlineStr">
        <is>
          <t>採用活動　日次報告書</t>
        </is>
      </c>
    </row>
    <row r="2" ht="18" customHeight="1">
      <c r="B2" s="2">
        <f>"報告日：" &amp; TEXT(MAX(日次レポート!$A$4:$A$200),"yyyy年m月d日") &amp; "　｜　短時間勤務者（成田NRT・千歳CTS）　｜　宛先：社長"</f>
        <v/>
      </c>
    </row>
    <row r="3">
      <c r="B3" s="3" t="inlineStr">
        <is>
          <t>担当者：________________</t>
        </is>
      </c>
    </row>
    <row r="5">
      <c r="B5" s="4" t="inlineStr">
        <is>
          <t>承諾（採用）</t>
        </is>
      </c>
      <c r="C5" s="5" t="n"/>
      <c r="D5" s="4" t="inlineStr">
        <is>
          <t>応募数（累計）</t>
        </is>
      </c>
      <c r="E5" s="5" t="n"/>
      <c r="F5" s="4" t="inlineStr">
        <is>
          <t>面接実施（累計）</t>
        </is>
      </c>
      <c r="G5" s="5" t="n"/>
    </row>
    <row r="6" ht="26" customHeight="1">
      <c r="B6" s="6">
        <f>KPIダッシュボード!D16&amp;" / "&amp;KPIダッシュボード!C16&amp;" 名"</f>
        <v/>
      </c>
      <c r="C6" s="5" t="n"/>
      <c r="D6" s="6">
        <f>KPIダッシュボード!D11&amp;" 名"</f>
        <v/>
      </c>
      <c r="E6" s="5" t="n"/>
      <c r="F6" s="6">
        <f>KPIダッシュボード!D14&amp;" 名"</f>
        <v/>
      </c>
      <c r="G6" s="5" t="n"/>
    </row>
    <row r="7"/>
    <row r="8">
      <c r="B8" s="7">
        <f>" 達成率 "&amp;TEXT(KPIダッシュボード!E16,"0.0%")&amp;"　前日比 "&amp;TEXT(KPIダッシュボード!G16,"+0;-0;0")</f>
        <v/>
      </c>
      <c r="C8" s="5" t="n"/>
      <c r="D8" s="7">
        <f>" 目標 "&amp;KPIダッシュボード!C11&amp;"　達成率 "&amp;TEXT(KPIダッシュボード!E11,"0.0%")&amp;"　前日比 "&amp;TEXT(KPIダッシュボード!G11,"+0;-0;0")</f>
        <v/>
      </c>
      <c r="E8" s="5" t="n"/>
      <c r="F8" s="7">
        <f>" 目標 "&amp;KPIダッシュボード!C14&amp;"　前日比 "&amp;TEXT(KPIダッシュボード!G14,"+0;-0;0")</f>
        <v/>
      </c>
      <c r="G8" s="5" t="n"/>
    </row>
    <row r="10" ht="20" customHeight="1">
      <c r="B10" s="8" t="inlineStr">
        <is>
          <t>■ 採用ファネル（目標 vs 実績）</t>
        </is>
      </c>
    </row>
    <row r="11">
      <c r="B11" s="9" t="inlineStr">
        <is>
          <t>指標</t>
        </is>
      </c>
      <c r="C11" s="9" t="inlineStr">
        <is>
          <t>目標</t>
        </is>
      </c>
      <c r="D11" s="9" t="inlineStr">
        <is>
          <t>実績</t>
        </is>
      </c>
      <c r="E11" s="9" t="inlineStr">
        <is>
          <t>達成率</t>
        </is>
      </c>
      <c r="F11" s="9" t="inlineStr">
        <is>
          <t>前日比</t>
        </is>
      </c>
    </row>
    <row r="12">
      <c r="B12" s="10" t="inlineStr">
        <is>
          <t>応募数</t>
        </is>
      </c>
      <c r="C12" s="11">
        <f>KPIダッシュボード!C11</f>
        <v/>
      </c>
      <c r="D12" s="12">
        <f>KPIダッシュボード!D11</f>
        <v/>
      </c>
      <c r="E12" s="13">
        <f>KPIダッシュボード!E11</f>
        <v/>
      </c>
      <c r="F12" s="14">
        <f>KPIダッシュボード!G11</f>
        <v/>
      </c>
    </row>
    <row r="13">
      <c r="B13" s="10" t="inlineStr">
        <is>
          <t>書類通過</t>
        </is>
      </c>
      <c r="C13" s="11">
        <f>KPIダッシュボード!C12</f>
        <v/>
      </c>
      <c r="D13" s="12">
        <f>KPIダッシュボード!D12</f>
        <v/>
      </c>
      <c r="E13" s="13">
        <f>KPIダッシュボード!E12</f>
        <v/>
      </c>
      <c r="F13" s="14">
        <f>KPIダッシュボード!G12</f>
        <v/>
      </c>
    </row>
    <row r="14">
      <c r="B14" s="10" t="inlineStr">
        <is>
          <t>面接設定</t>
        </is>
      </c>
      <c r="C14" s="11">
        <f>KPIダッシュボード!C13</f>
        <v/>
      </c>
      <c r="D14" s="12">
        <f>KPIダッシュボード!D13</f>
        <v/>
      </c>
      <c r="E14" s="13">
        <f>KPIダッシュボード!E13</f>
        <v/>
      </c>
      <c r="F14" s="14">
        <f>KPIダッシュボード!G13</f>
        <v/>
      </c>
    </row>
    <row r="15">
      <c r="B15" s="10" t="inlineStr">
        <is>
          <t>面接実施</t>
        </is>
      </c>
      <c r="C15" s="11">
        <f>KPIダッシュボード!C14</f>
        <v/>
      </c>
      <c r="D15" s="12">
        <f>KPIダッシュボード!D14</f>
        <v/>
      </c>
      <c r="E15" s="13">
        <f>KPIダッシュボード!E14</f>
        <v/>
      </c>
      <c r="F15" s="14">
        <f>KPIダッシュボード!G14</f>
        <v/>
      </c>
    </row>
    <row r="16">
      <c r="B16" s="10" t="inlineStr">
        <is>
          <t>内定</t>
        </is>
      </c>
      <c r="C16" s="11">
        <f>KPIダッシュボード!C15</f>
        <v/>
      </c>
      <c r="D16" s="12">
        <f>KPIダッシュボード!D15</f>
        <v/>
      </c>
      <c r="E16" s="13">
        <f>KPIダッシュボード!E15</f>
        <v/>
      </c>
      <c r="F16" s="14">
        <f>KPIダッシュボード!G15</f>
        <v/>
      </c>
    </row>
    <row r="17">
      <c r="B17" s="10" t="inlineStr">
        <is>
          <t>承諾</t>
        </is>
      </c>
      <c r="C17" s="11">
        <f>KPIダッシュボード!C16</f>
        <v/>
      </c>
      <c r="D17" s="12">
        <f>KPIダッシュボード!D16</f>
        <v/>
      </c>
      <c r="E17" s="13">
        <f>KPIダッシュボード!E16</f>
        <v/>
      </c>
      <c r="F17" s="14">
        <f>KPIダッシュボード!G16</f>
        <v/>
      </c>
    </row>
    <row r="19" ht="20" customHeight="1">
      <c r="B19" s="8" t="inlineStr">
        <is>
          <t>■ 拠点別 採用目標 達成（承諾）</t>
        </is>
      </c>
    </row>
    <row r="20">
      <c r="B20" s="9" t="inlineStr">
        <is>
          <t>拠点</t>
        </is>
      </c>
      <c r="C20" s="9" t="inlineStr">
        <is>
          <t>採用目標</t>
        </is>
      </c>
      <c r="D20" s="9" t="inlineStr">
        <is>
          <t>承諾実績</t>
        </is>
      </c>
      <c r="E20" s="9" t="inlineStr">
        <is>
          <t>達成率</t>
        </is>
      </c>
      <c r="F20" s="15" t="n"/>
      <c r="G20" s="16" t="n"/>
    </row>
    <row r="21">
      <c r="B21" s="10" t="inlineStr">
        <is>
          <t>NRT（成田）</t>
        </is>
      </c>
      <c r="C21" s="11">
        <f>KPIダッシュボード!C43</f>
        <v/>
      </c>
      <c r="D21" s="12">
        <f>KPIダッシュボード!D43</f>
        <v/>
      </c>
      <c r="E21" s="13">
        <f>KPIダッシュボード!E43</f>
        <v/>
      </c>
      <c r="F21" s="5" t="n"/>
      <c r="G21" s="5" t="n"/>
    </row>
    <row r="22">
      <c r="B22" s="10" t="inlineStr">
        <is>
          <t>CTS（千歳）</t>
        </is>
      </c>
      <c r="C22" s="11">
        <f>KPIダッシュボード!C44</f>
        <v/>
      </c>
      <c r="D22" s="12">
        <f>KPIダッシュボード!D44</f>
        <v/>
      </c>
      <c r="E22" s="13">
        <f>KPIダッシュボード!E44</f>
        <v/>
      </c>
      <c r="F22" s="5" t="n"/>
      <c r="G22" s="5" t="n"/>
    </row>
    <row r="23">
      <c r="B23" s="10" t="inlineStr">
        <is>
          <t>合計</t>
        </is>
      </c>
      <c r="C23" s="11">
        <f>KPIダッシュボード!C45</f>
        <v/>
      </c>
      <c r="D23" s="12">
        <f>KPIダッシュボード!D45</f>
        <v/>
      </c>
      <c r="E23" s="13">
        <f>KPIダッシュボード!E45</f>
        <v/>
      </c>
      <c r="F23" s="5" t="n"/>
      <c r="G23" s="5" t="n"/>
    </row>
    <row r="25" ht="20" customHeight="1">
      <c r="B25" s="8" t="inlineStr">
        <is>
          <t>■ 応募者属性（累計）</t>
        </is>
      </c>
    </row>
    <row r="26">
      <c r="B26" s="17" t="inlineStr">
        <is>
          <t>男女</t>
        </is>
      </c>
      <c r="C26" s="17" t="inlineStr">
        <is>
          <t>人数</t>
        </is>
      </c>
      <c r="D26" s="17" t="inlineStr">
        <is>
          <t>比率</t>
        </is>
      </c>
      <c r="E26" s="17" t="inlineStr">
        <is>
          <t>国籍</t>
        </is>
      </c>
      <c r="F26" s="17" t="inlineStr">
        <is>
          <t>人数</t>
        </is>
      </c>
      <c r="G26" s="17" t="inlineStr">
        <is>
          <t>比率</t>
        </is>
      </c>
    </row>
    <row r="27">
      <c r="B27" s="18" t="inlineStr">
        <is>
          <t>男</t>
        </is>
      </c>
      <c r="C27" s="19">
        <f>COUNTIF(応募者データ!$G$3:$G$502,"男")</f>
        <v/>
      </c>
      <c r="D27" s="20">
        <f>IFERROR(C27/SUM(C27:C28),"")</f>
        <v/>
      </c>
      <c r="E27" s="18" t="inlineStr">
        <is>
          <t>日本</t>
        </is>
      </c>
      <c r="F27" s="19">
        <f>COUNTIF(応募者データ!$H$3:$H$502,"日本")</f>
        <v/>
      </c>
      <c r="G27" s="20">
        <f>IFERROR(F27/SUM(F27:F28),"")</f>
        <v/>
      </c>
    </row>
    <row r="28">
      <c r="B28" s="18" t="inlineStr">
        <is>
          <t>女</t>
        </is>
      </c>
      <c r="C28" s="19">
        <f>COUNTIF(応募者データ!$G$3:$G$502,"女")</f>
        <v/>
      </c>
      <c r="D28" s="20">
        <f>IFERROR(C28/SUM(C27:C28),"")</f>
        <v/>
      </c>
      <c r="E28" s="18" t="inlineStr">
        <is>
          <t>外国籍</t>
        </is>
      </c>
      <c r="F28" s="19">
        <f>COUNTIF(応募者データ!$H$3:$H$502,"外国籍")</f>
        <v/>
      </c>
      <c r="G28" s="20">
        <f>IFERROR(F28/SUM(F27:F28),"")</f>
        <v/>
      </c>
    </row>
    <row r="30">
      <c r="B30" s="17" t="inlineStr">
        <is>
          <t>経験</t>
        </is>
      </c>
      <c r="C30" s="17" t="inlineStr">
        <is>
          <t>人数</t>
        </is>
      </c>
      <c r="D30" s="17" t="inlineStr">
        <is>
          <t>比率</t>
        </is>
      </c>
      <c r="E30" s="17" t="inlineStr">
        <is>
          <t>就業区分</t>
        </is>
      </c>
      <c r="F30" s="17" t="inlineStr">
        <is>
          <t>人数</t>
        </is>
      </c>
      <c r="G30" s="17" t="inlineStr">
        <is>
          <t>比率</t>
        </is>
      </c>
    </row>
    <row r="31">
      <c r="B31" s="18" t="inlineStr">
        <is>
          <t>経験者</t>
        </is>
      </c>
      <c r="C31" s="19">
        <f>COUNTIF(応募者データ!$I$3:$I$502,"経験者")</f>
        <v/>
      </c>
      <c r="D31" s="20">
        <f>IFERROR(C31/SUM(C31:C33),"")</f>
        <v/>
      </c>
      <c r="E31" s="18" t="inlineStr">
        <is>
          <t>学生</t>
        </is>
      </c>
      <c r="F31" s="19">
        <f>COUNTIF(応募者データ!$J$3:$J$502,"学生")</f>
        <v/>
      </c>
      <c r="G31" s="20">
        <f>IFERROR(F31/SUM(F31:F36),"")</f>
        <v/>
      </c>
    </row>
    <row r="32">
      <c r="B32" s="18" t="inlineStr">
        <is>
          <t>未経験者</t>
        </is>
      </c>
      <c r="C32" s="19">
        <f>COUNTIF(応募者データ!$I$3:$I$502,"未経験者")</f>
        <v/>
      </c>
      <c r="D32" s="20">
        <f>IFERROR(C32/SUM(C31:C33),"")</f>
        <v/>
      </c>
      <c r="E32" s="18" t="inlineStr">
        <is>
          <t>フリーター</t>
        </is>
      </c>
      <c r="F32" s="19">
        <f>COUNTIF(応募者データ!$J$3:$J$502,"フリーター")</f>
        <v/>
      </c>
      <c r="G32" s="20">
        <f>IFERROR(F32/SUM(F31:F36),"")</f>
        <v/>
      </c>
    </row>
    <row r="33">
      <c r="B33" s="18" t="inlineStr">
        <is>
          <t>未入力</t>
        </is>
      </c>
      <c r="C33" s="19">
        <f>COUNTA(応募者データ!$E$3:$E$502)-COUNTIF(応募者データ!$I$3:$I$502,"経験者")-COUNTIF(応募者データ!$I$3:$I$502,"未経験者")</f>
        <v/>
      </c>
      <c r="D33" s="20">
        <f>IFERROR(C33/SUM(C31:C33),"")</f>
        <v/>
      </c>
      <c r="E33" s="18" t="inlineStr">
        <is>
          <t>社会人</t>
        </is>
      </c>
      <c r="F33" s="19">
        <f>COUNTIF(応募者データ!$J$3:$J$502,"社会人")</f>
        <v/>
      </c>
      <c r="G33" s="20">
        <f>IFERROR(F33/SUM(F31:F36),"")</f>
        <v/>
      </c>
    </row>
    <row r="34">
      <c r="E34" s="18" t="inlineStr">
        <is>
          <t>主婦・主夫</t>
        </is>
      </c>
      <c r="F34" s="19">
        <f>COUNTIF(応募者データ!$J$3:$J$502,"主婦・主夫")</f>
        <v/>
      </c>
      <c r="G34" s="20">
        <f>IFERROR(F34/SUM(F31:F36),"")</f>
        <v/>
      </c>
    </row>
    <row r="35">
      <c r="E35" s="18" t="inlineStr">
        <is>
          <t>その他</t>
        </is>
      </c>
      <c r="F35" s="19">
        <f>COUNTIF(応募者データ!$J$3:$J$502,"その他")</f>
        <v/>
      </c>
      <c r="G35" s="20">
        <f>IFERROR(F35/SUM(F31:F36),"")</f>
        <v/>
      </c>
    </row>
    <row r="36">
      <c r="E36" s="18" t="inlineStr">
        <is>
          <t>未入力</t>
        </is>
      </c>
      <c r="F36" s="19">
        <f>COUNTA(応募者データ!$E$3:$E$502)-COUNTIF(応募者データ!$J$3:$J$502,"学生")-COUNTIF(応募者データ!$J$3:$J$502,"フリーター")-COUNTIF(応募者データ!$J$3:$J$502,"社会人")-COUNTIF(応募者データ!$J$3:$J$502,"主婦・主夫")-COUNTIF(応募者データ!$J$3:$J$502,"その他")</f>
        <v/>
      </c>
      <c r="G36" s="20">
        <f>IFERROR(F36/SUM(F31:F36),"")</f>
        <v/>
      </c>
    </row>
    <row r="38">
      <c r="B38" s="17" t="inlineStr">
        <is>
          <t>年齢分布</t>
        </is>
      </c>
      <c r="C38" s="21" t="inlineStr">
        <is>
          <t>〜19</t>
        </is>
      </c>
      <c r="D38" s="21" t="inlineStr">
        <is>
          <t>20代</t>
        </is>
      </c>
      <c r="E38" s="21" t="inlineStr">
        <is>
          <t>30代</t>
        </is>
      </c>
      <c r="F38" s="21" t="inlineStr">
        <is>
          <t>40代</t>
        </is>
      </c>
      <c r="G38" s="21" t="inlineStr">
        <is>
          <t>50代</t>
        </is>
      </c>
      <c r="H38" s="21" t="inlineStr">
        <is>
          <t>60〜</t>
        </is>
      </c>
    </row>
    <row r="39">
      <c r="B39" s="19" t="inlineStr">
        <is>
          <t>人数</t>
        </is>
      </c>
      <c r="C39" s="12">
        <f>COUNTIF(応募者データ!$F$3:$F$502,"&lt;=19")</f>
        <v/>
      </c>
      <c r="D39" s="12">
        <f>COUNTIFS(応募者データ!$F$3:$F$502,"&gt;=20",応募者データ!$F$3:$F$502,"&lt;=29")</f>
        <v/>
      </c>
      <c r="E39" s="12">
        <f>COUNTIFS(応募者データ!$F$3:$F$502,"&gt;=30",応募者データ!$F$3:$F$502,"&lt;=39")</f>
        <v/>
      </c>
      <c r="F39" s="12">
        <f>COUNTIFS(応募者データ!$F$3:$F$502,"&gt;=40",応募者データ!$F$3:$F$502,"&lt;=49")</f>
        <v/>
      </c>
      <c r="G39" s="12">
        <f>COUNTIFS(応募者データ!$F$3:$F$502,"&gt;=50",応募者データ!$F$3:$F$502,"&lt;=59")</f>
        <v/>
      </c>
      <c r="H39" s="12">
        <f>COUNTIF(応募者データ!$F$3:$F$502,"&gt;=60")</f>
        <v/>
      </c>
    </row>
    <row r="41" ht="20" customHeight="1">
      <c r="B41" s="8" t="inlineStr">
        <is>
          <t>■ 特記事項・本日の動き（担当者記入）</t>
        </is>
      </c>
    </row>
    <row r="42">
      <c r="B42" s="22" t="inlineStr">
        <is>
          <t>（例）本日バイトル千歳より新規3名応募。町田様 面接日程調整中。年齢超過による書類NGが継続、媒体訴求を検討。</t>
        </is>
      </c>
      <c r="C42" s="5" t="n"/>
      <c r="D42" s="5" t="n"/>
      <c r="E42" s="5" t="n"/>
      <c r="F42" s="5" t="n"/>
      <c r="G42" s="5" t="n"/>
    </row>
    <row r="43">
      <c r="B43" s="5" t="n"/>
      <c r="C43" s="5" t="n"/>
      <c r="D43" s="5" t="n"/>
      <c r="E43" s="5" t="n"/>
      <c r="F43" s="5" t="n"/>
      <c r="G43" s="5" t="n"/>
    </row>
    <row r="44">
      <c r="B44" s="5" t="n"/>
      <c r="C44" s="5" t="n"/>
      <c r="D44" s="5" t="n"/>
      <c r="E44" s="5" t="n"/>
      <c r="F44" s="5" t="n"/>
      <c r="G44" s="5" t="n"/>
    </row>
    <row r="45">
      <c r="B45" s="5" t="n"/>
      <c r="C45" s="5" t="n"/>
      <c r="D45" s="5" t="n"/>
      <c r="E45" s="5" t="n"/>
      <c r="F45" s="5" t="n"/>
      <c r="G45" s="5" t="n"/>
    </row>
  </sheetData>
  <mergeCells count="21">
    <mergeCell ref="B2:G2"/>
    <mergeCell ref="B1:G1"/>
    <mergeCell ref="B6:C7"/>
    <mergeCell ref="B19:G19"/>
    <mergeCell ref="B10:G10"/>
    <mergeCell ref="F5:G5"/>
    <mergeCell ref="B8:C8"/>
    <mergeCell ref="F8:G8"/>
    <mergeCell ref="E22:G22"/>
    <mergeCell ref="B42:G45"/>
    <mergeCell ref="B41:G41"/>
    <mergeCell ref="D6:E7"/>
    <mergeCell ref="F6:G7"/>
    <mergeCell ref="E21:G21"/>
    <mergeCell ref="B25:G25"/>
    <mergeCell ref="B3:G3"/>
    <mergeCell ref="D8:E8"/>
    <mergeCell ref="B5:C5"/>
    <mergeCell ref="E23:G23"/>
    <mergeCell ref="D5:E5"/>
    <mergeCell ref="E20:G20"/>
  </mergeCells>
  <conditionalFormatting sqref="E12:E17">
    <cfRule type="cellIs" priority="1" operator="greaterThanOrEqual" dxfId="0">
      <formula>1</formula>
    </cfRule>
    <cfRule type="cellIs" priority="2" operator="between" dxfId="1">
      <formula>0.7</formula>
      <formula>0.9999</formula>
    </cfRule>
    <cfRule type="cellIs" priority="3" operator="lessThan" dxfId="2">
      <formula>0.7</formula>
    </cfRule>
  </conditionalFormatting>
  <conditionalFormatting sqref="F12:F17">
    <cfRule type="cellIs" priority="4" operator="greaterThan" dxfId="0">
      <formula>0</formula>
    </cfRule>
    <cfRule type="cellIs" priority="5" operator="lessThan" dxfId="3">
      <formula>0</formula>
    </cfRule>
  </conditionalFormatting>
  <pageMargins left="0.4" right="0.4" top="0.5" bottom="0.4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H85"/>
  <sheetViews>
    <sheetView showGridLines="0" zoomScale="10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1" customWidth="1" min="3" max="3"/>
    <col width="12" customWidth="1" min="4" max="4"/>
    <col width="10" customWidth="1" min="5" max="5"/>
    <col width="11" customWidth="1" min="6" max="6"/>
    <col width="11" customWidth="1" min="7" max="7"/>
    <col width="11" customWidth="1" min="8" max="8"/>
    <col width="2" customWidth="1" min="9" max="9"/>
  </cols>
  <sheetData>
    <row r="1" ht="34" customHeight="1">
      <c r="B1" s="23" t="inlineStr">
        <is>
          <t>📊 短時間勤務者　採用KPIダッシュボード</t>
        </is>
      </c>
    </row>
    <row r="2" ht="20" customHeight="1">
      <c r="B2" s="24">
        <f>TEXT(MAX(日次レポート!$A$4:$A$200),"yyyy/mm/dd")&amp;" 時点　｜　成田(NRT)・千歳(CTS) パート採用進捗　｜　数値は応募者データより自動集計"</f>
        <v/>
      </c>
    </row>
    <row r="4" ht="22" customHeight="1">
      <c r="B4" s="25" t="inlineStr">
        <is>
          <t>◎  目標設定 ─ 黄色セルに入力（採用目標から各段階の目標を自動逆算）</t>
        </is>
      </c>
    </row>
    <row r="5">
      <c r="B5" s="26" t="inlineStr">
        <is>
          <t>採用目標（承諾・人）</t>
        </is>
      </c>
      <c r="C5" s="12" t="inlineStr">
        <is>
          <t>NRT(成田)</t>
        </is>
      </c>
      <c r="D5" s="27" t="n">
        <v>10</v>
      </c>
      <c r="E5" s="12" t="inlineStr">
        <is>
          <t>CTS(千歳)</t>
        </is>
      </c>
      <c r="F5" s="27" t="n">
        <v>10</v>
      </c>
      <c r="G5" s="12" t="inlineStr">
        <is>
          <t>合計</t>
        </is>
      </c>
      <c r="H5" s="28">
        <f>D5+F5</f>
        <v/>
      </c>
    </row>
    <row r="6">
      <c r="B6" s="10" t="inlineStr">
        <is>
          <t>歩留まり前提</t>
        </is>
      </c>
      <c r="C6" s="12" t="inlineStr">
        <is>
          <t>書類通過率</t>
        </is>
      </c>
      <c r="D6" s="12" t="inlineStr">
        <is>
          <t>面接設定率</t>
        </is>
      </c>
      <c r="E6" s="12" t="inlineStr">
        <is>
          <t>面接実施率</t>
        </is>
      </c>
      <c r="F6" s="12" t="inlineStr">
        <is>
          <t>内定率</t>
        </is>
      </c>
      <c r="G6" s="12" t="inlineStr">
        <is>
          <t>承諾率</t>
        </is>
      </c>
    </row>
    <row r="7">
      <c r="B7" s="29" t="inlineStr">
        <is>
          <t>（応募→承諾）</t>
        </is>
      </c>
      <c r="C7" s="30" t="n">
        <v>0.5</v>
      </c>
      <c r="D7" s="30" t="n">
        <v>0.7</v>
      </c>
      <c r="E7" s="30" t="n">
        <v>0.85</v>
      </c>
      <c r="F7" s="30" t="n">
        <v>0.6</v>
      </c>
      <c r="G7" s="30" t="n">
        <v>0.8</v>
      </c>
    </row>
    <row r="9" ht="22" customHeight="1">
      <c r="B9" s="25" t="inlineStr">
        <is>
          <t>①  採用ファネル：目標(逆算) vs 実績（累計）</t>
        </is>
      </c>
    </row>
    <row r="10">
      <c r="B10" s="9" t="inlineStr">
        <is>
          <t>指標</t>
        </is>
      </c>
      <c r="C10" s="9" t="inlineStr">
        <is>
          <t>目標(逆算)</t>
        </is>
      </c>
      <c r="D10" s="9" t="inlineStr">
        <is>
          <t>実績(累計)</t>
        </is>
      </c>
      <c r="E10" s="9" t="inlineStr">
        <is>
          <t>達成率</t>
        </is>
      </c>
      <c r="F10" s="9" t="inlineStr">
        <is>
          <t>前日</t>
        </is>
      </c>
      <c r="G10" s="9" t="inlineStr">
        <is>
          <t>前日比</t>
        </is>
      </c>
    </row>
    <row r="11">
      <c r="B11" s="26" t="inlineStr">
        <is>
          <t>応募数</t>
        </is>
      </c>
      <c r="C11" s="31">
        <f>ROUNDUP(C12/$C$7,0)</f>
        <v/>
      </c>
      <c r="D11" s="32">
        <f>COUNTA(応募者データ!$E$3:$E$502)</f>
        <v/>
      </c>
      <c r="E11" s="33">
        <f>IFERROR(D11/C11,"")</f>
        <v/>
      </c>
      <c r="F11" s="32">
        <f>IFERROR(LOOKUP(1E+100,日次レポート!B$4:B$200),0)</f>
        <v/>
      </c>
      <c r="G11" s="14">
        <f>D11-F11</f>
        <v/>
      </c>
    </row>
    <row r="12">
      <c r="B12" s="26" t="inlineStr">
        <is>
          <t>書類通過</t>
        </is>
      </c>
      <c r="C12" s="31">
        <f>ROUNDUP(C13/$D$7,0)</f>
        <v/>
      </c>
      <c r="D12" s="32">
        <f>COUNTIF(応募者データ!$K$3:$K$502,"通過")</f>
        <v/>
      </c>
      <c r="E12" s="33">
        <f>IFERROR(D12/C12,"")</f>
        <v/>
      </c>
      <c r="F12" s="32">
        <f>IFERROR(LOOKUP(1E+100,日次レポート!C$4:C$200),0)</f>
        <v/>
      </c>
      <c r="G12" s="14">
        <f>D12-F12</f>
        <v/>
      </c>
    </row>
    <row r="13">
      <c r="B13" s="26" t="inlineStr">
        <is>
          <t>面接設定</t>
        </is>
      </c>
      <c r="C13" s="31">
        <f>ROUNDUP(C14/$E$7,0)</f>
        <v/>
      </c>
      <c r="D13" s="32">
        <f>COUNTIF(応募者データ!$M$3:$M$502,"面接調整中")+COUNTIF(応募者データ!$M$3:$M$502,"面接日確定")+COUNTIF(応募者データ!$M$3:$M$502,"面接実施済み")</f>
        <v/>
      </c>
      <c r="E13" s="33">
        <f>IFERROR(D13/C13,"")</f>
        <v/>
      </c>
      <c r="F13" s="32">
        <f>IFERROR(LOOKUP(1E+100,日次レポート!D$4:D$200),0)</f>
        <v/>
      </c>
      <c r="G13" s="14">
        <f>D13-F13</f>
        <v/>
      </c>
    </row>
    <row r="14">
      <c r="B14" s="26" t="inlineStr">
        <is>
          <t>面接実施</t>
        </is>
      </c>
      <c r="C14" s="31">
        <f>ROUNDUP(C15/$F$7,0)</f>
        <v/>
      </c>
      <c r="D14" s="32">
        <f>COUNTIF(応募者データ!$M$3:$M$502,"面接実施済み")</f>
        <v/>
      </c>
      <c r="E14" s="33">
        <f>IFERROR(D14/C14,"")</f>
        <v/>
      </c>
      <c r="F14" s="32">
        <f>IFERROR(LOOKUP(1E+100,日次レポート!E$4:E$200),0)</f>
        <v/>
      </c>
      <c r="G14" s="14">
        <f>D14-F14</f>
        <v/>
      </c>
    </row>
    <row r="15">
      <c r="B15" s="26" t="inlineStr">
        <is>
          <t>内定</t>
        </is>
      </c>
      <c r="C15" s="31">
        <f>ROUNDUP(C16/$G$7,0)</f>
        <v/>
      </c>
      <c r="D15" s="32">
        <f>COUNTIF(応募者データ!$O$3:$O$502,"採用")+COUNTIF(応募者データ!$O$3:$O$502,"入社予定")+COUNTIF(応募者データ!$O$3:$O$502,"採用辞退")+COUNTIF(応募者データ!$O$3:$O$502,"入社辞退")</f>
        <v/>
      </c>
      <c r="E15" s="33">
        <f>IFERROR(D15/C15,"")</f>
        <v/>
      </c>
      <c r="F15" s="32">
        <f>IFERROR(LOOKUP(1E+100,日次レポート!F$4:F$200),0)</f>
        <v/>
      </c>
      <c r="G15" s="14">
        <f>D15-F15</f>
        <v/>
      </c>
    </row>
    <row r="16">
      <c r="B16" s="26" t="inlineStr">
        <is>
          <t>承諾</t>
        </is>
      </c>
      <c r="C16" s="31">
        <f>$H$5</f>
        <v/>
      </c>
      <c r="D16" s="32">
        <f>COUNTIF(応募者データ!$O$3:$O$502,"採用")+COUNTIF(応募者データ!$O$3:$O$502,"入社予定")</f>
        <v/>
      </c>
      <c r="E16" s="33">
        <f>IFERROR(D16/C16,"")</f>
        <v/>
      </c>
      <c r="F16" s="32">
        <f>IFERROR(LOOKUP(1E+100,日次レポート!G$4:G$200),0)</f>
        <v/>
      </c>
      <c r="G16" s="14">
        <f>D16-F16</f>
        <v/>
      </c>
    </row>
    <row r="18" ht="22" customHeight="1">
      <c r="B18" s="25" t="inlineStr">
        <is>
          <t>②  転換率（歩留まり）</t>
        </is>
      </c>
    </row>
    <row r="19">
      <c r="B19" s="9" t="inlineStr">
        <is>
          <t>指標</t>
        </is>
      </c>
      <c r="C19" s="9" t="inlineStr">
        <is>
          <t>値</t>
        </is>
      </c>
      <c r="D19" s="9" t="inlineStr">
        <is>
          <t>計算式・定義</t>
        </is>
      </c>
    </row>
    <row r="20">
      <c r="B20" s="26" t="inlineStr">
        <is>
          <t>書類通過率</t>
        </is>
      </c>
      <c r="C20" s="34">
        <f>IFERROR(D12/D11,"")</f>
        <v/>
      </c>
      <c r="D20" s="29" t="inlineStr">
        <is>
          <t>書類通過 ÷ 応募数</t>
        </is>
      </c>
      <c r="E20" s="5" t="n"/>
      <c r="F20" s="5" t="n"/>
      <c r="G20" s="5" t="n"/>
    </row>
    <row r="21">
      <c r="B21" s="26" t="inlineStr">
        <is>
          <t>面接設定率</t>
        </is>
      </c>
      <c r="C21" s="34">
        <f>IFERROR(D13/D12,"")</f>
        <v/>
      </c>
      <c r="D21" s="29" t="inlineStr">
        <is>
          <t>面接設定 ÷ 書類通過</t>
        </is>
      </c>
      <c r="E21" s="5" t="n"/>
      <c r="F21" s="5" t="n"/>
      <c r="G21" s="5" t="n"/>
    </row>
    <row r="22">
      <c r="B22" s="26" t="inlineStr">
        <is>
          <t>面接実施率</t>
        </is>
      </c>
      <c r="C22" s="34">
        <f>IFERROR(D14/D13,"")</f>
        <v/>
      </c>
      <c r="D22" s="29" t="inlineStr">
        <is>
          <t>面接実施 ÷ 面接設定</t>
        </is>
      </c>
      <c r="E22" s="5" t="n"/>
      <c r="F22" s="5" t="n"/>
      <c r="G22" s="5" t="n"/>
    </row>
    <row r="23">
      <c r="B23" s="26" t="inlineStr">
        <is>
          <t>内定率</t>
        </is>
      </c>
      <c r="C23" s="34">
        <f>IFERROR(D15/D14,"")</f>
        <v/>
      </c>
      <c r="D23" s="29" t="inlineStr">
        <is>
          <t>内定 ÷ 面接実施</t>
        </is>
      </c>
      <c r="E23" s="5" t="n"/>
      <c r="F23" s="5" t="n"/>
      <c r="G23" s="5" t="n"/>
    </row>
    <row r="24">
      <c r="B24" s="26" t="inlineStr">
        <is>
          <t>承諾率</t>
        </is>
      </c>
      <c r="C24" s="34">
        <f>IFERROR(D16/D15,"")</f>
        <v/>
      </c>
      <c r="D24" s="29" t="inlineStr">
        <is>
          <t>承諾 ÷ 内定</t>
        </is>
      </c>
      <c r="E24" s="5" t="n"/>
      <c r="F24" s="5" t="n"/>
      <c r="G24" s="5" t="n"/>
    </row>
    <row r="26" ht="22" customHeight="1">
      <c r="B26" s="25" t="inlineStr">
        <is>
          <t>③  媒体別 実績</t>
        </is>
      </c>
    </row>
    <row r="27">
      <c r="B27" s="9" t="inlineStr">
        <is>
          <t>媒体</t>
        </is>
      </c>
      <c r="C27" s="9" t="inlineStr">
        <is>
          <t>応募数</t>
        </is>
      </c>
      <c r="D27" s="9" t="inlineStr">
        <is>
          <t>書類通過</t>
        </is>
      </c>
      <c r="E27" s="9" t="inlineStr">
        <is>
          <t>面接設定</t>
        </is>
      </c>
      <c r="F27" s="9" t="inlineStr">
        <is>
          <t>面接実施</t>
        </is>
      </c>
      <c r="G27" s="9" t="inlineStr">
        <is>
          <t>内定</t>
        </is>
      </c>
      <c r="H27" s="9" t="inlineStr">
        <is>
          <t>承諾</t>
        </is>
      </c>
    </row>
    <row r="28">
      <c r="B28" s="10" t="inlineStr">
        <is>
          <t>バイトル</t>
        </is>
      </c>
      <c r="C28" s="11">
        <f>COUNTIFS(応募者データ!$B$3:$B$502,"バイトル")</f>
        <v/>
      </c>
      <c r="D28" s="11">
        <f>COUNTIFS(応募者データ!$B$3:$B$502,"バイトル",応募者データ!$K$3:$K$502,"通過")</f>
        <v/>
      </c>
      <c r="E28" s="11">
        <f>COUNTIFS(応募者データ!$B$3:$B$502,"バイトル",応募者データ!$M$3:$M$502,"面接調整中")+COUNTIFS(応募者データ!$B$3:$B$502,"バイトル",応募者データ!$M$3:$M$502,"面接日確定")+COUNTIFS(応募者データ!$B$3:$B$502,"バイトル",応募者データ!$M$3:$M$502,"面接実施済み")</f>
        <v/>
      </c>
      <c r="F28" s="11">
        <f>COUNTIFS(応募者データ!$B$3:$B$502,"バイトル",応募者データ!$M$3:$M$502,"面接実施済み")</f>
        <v/>
      </c>
      <c r="G28" s="11">
        <f>COUNTIFS(応募者データ!$B$3:$B$502,"バイトル",応募者データ!$O$3:$O$502,"採用")+COUNTIFS(応募者データ!$B$3:$B$502,"バイトル",応募者データ!$O$3:$O$502,"入社予定")+COUNTIFS(応募者データ!$B$3:$B$502,"バイトル",応募者データ!$O$3:$O$502,"採用辞退")+COUNTIFS(応募者データ!$B$3:$B$502,"バイトル",応募者データ!$O$3:$O$502,"入社辞退")</f>
        <v/>
      </c>
      <c r="H28" s="11">
        <f>COUNTIFS(応募者データ!$B$3:$B$502,"バイトル",応募者データ!$O$3:$O$502,"採用")+COUNTIFS(応募者データ!$B$3:$B$502,"バイトル",応募者データ!$O$3:$O$502,"入社予定")</f>
        <v/>
      </c>
    </row>
    <row r="29">
      <c r="B29" s="35" t="inlineStr">
        <is>
          <t>マイナビバイト</t>
        </is>
      </c>
      <c r="C29" s="36">
        <f>COUNTIFS(応募者データ!$B$3:$B$502,"マイナビバイト")</f>
        <v/>
      </c>
      <c r="D29" s="36">
        <f>COUNTIFS(応募者データ!$B$3:$B$502,"マイナビバイト",応募者データ!$K$3:$K$502,"通過")</f>
        <v/>
      </c>
      <c r="E29" s="36">
        <f>COUNTIFS(応募者データ!$B$3:$B$502,"マイナビバイト",応募者データ!$M$3:$M$502,"面接調整中")+COUNTIFS(応募者データ!$B$3:$B$502,"マイナビバイト",応募者データ!$M$3:$M$502,"面接日確定")+COUNTIFS(応募者データ!$B$3:$B$502,"マイナビバイト",応募者データ!$M$3:$M$502,"面接実施済み")</f>
        <v/>
      </c>
      <c r="F29" s="36">
        <f>COUNTIFS(応募者データ!$B$3:$B$502,"マイナビバイト",応募者データ!$M$3:$M$502,"面接実施済み")</f>
        <v/>
      </c>
      <c r="G29" s="36">
        <f>COUNTIFS(応募者データ!$B$3:$B$502,"マイナビバイト",応募者データ!$O$3:$O$502,"採用")+COUNTIFS(応募者データ!$B$3:$B$502,"マイナビバイト",応募者データ!$O$3:$O$502,"入社予定")+COUNTIFS(応募者データ!$B$3:$B$502,"マイナビバイト",応募者データ!$O$3:$O$502,"採用辞退")+COUNTIFS(応募者データ!$B$3:$B$502,"マイナビバイト",応募者データ!$O$3:$O$502,"入社辞退")</f>
        <v/>
      </c>
      <c r="H29" s="36">
        <f>COUNTIFS(応募者データ!$B$3:$B$502,"マイナビバイト",応募者データ!$O$3:$O$502,"採用")+COUNTIFS(応募者データ!$B$3:$B$502,"マイナビバイト",応募者データ!$O$3:$O$502,"入社予定")</f>
        <v/>
      </c>
    </row>
    <row r="30">
      <c r="B30" s="10" t="inlineStr">
        <is>
          <t>ちゃんと</t>
        </is>
      </c>
      <c r="C30" s="11">
        <f>COUNTIFS(応募者データ!$B$3:$B$502,"ちゃんと")</f>
        <v/>
      </c>
      <c r="D30" s="11">
        <f>COUNTIFS(応募者データ!$B$3:$B$502,"ちゃんと",応募者データ!$K$3:$K$502,"通過")</f>
        <v/>
      </c>
      <c r="E30" s="11">
        <f>COUNTIFS(応募者データ!$B$3:$B$502,"ちゃんと",応募者データ!$M$3:$M$502,"面接調整中")+COUNTIFS(応募者データ!$B$3:$B$502,"ちゃんと",応募者データ!$M$3:$M$502,"面接日確定")+COUNTIFS(応募者データ!$B$3:$B$502,"ちゃんと",応募者データ!$M$3:$M$502,"面接実施済み")</f>
        <v/>
      </c>
      <c r="F30" s="11">
        <f>COUNTIFS(応募者データ!$B$3:$B$502,"ちゃんと",応募者データ!$M$3:$M$502,"面接実施済み")</f>
        <v/>
      </c>
      <c r="G30" s="11">
        <f>COUNTIFS(応募者データ!$B$3:$B$502,"ちゃんと",応募者データ!$O$3:$O$502,"採用")+COUNTIFS(応募者データ!$B$3:$B$502,"ちゃんと",応募者データ!$O$3:$O$502,"入社予定")+COUNTIFS(応募者データ!$B$3:$B$502,"ちゃんと",応募者データ!$O$3:$O$502,"採用辞退")+COUNTIFS(応募者データ!$B$3:$B$502,"ちゃんと",応募者データ!$O$3:$O$502,"入社辞退")</f>
        <v/>
      </c>
      <c r="H30" s="11">
        <f>COUNTIFS(応募者データ!$B$3:$B$502,"ちゃんと",応募者データ!$O$3:$O$502,"採用")+COUNTIFS(応募者データ!$B$3:$B$502,"ちゃんと",応募者データ!$O$3:$O$502,"入社予定")</f>
        <v/>
      </c>
    </row>
    <row r="31">
      <c r="B31" s="35" t="inlineStr">
        <is>
          <t>社員紹介</t>
        </is>
      </c>
      <c r="C31" s="36">
        <f>COUNTIFS(応募者データ!$B$3:$B$502,"社員紹介")</f>
        <v/>
      </c>
      <c r="D31" s="36">
        <f>COUNTIFS(応募者データ!$B$3:$B$502,"社員紹介",応募者データ!$K$3:$K$502,"通過")</f>
        <v/>
      </c>
      <c r="E31" s="36">
        <f>COUNTIFS(応募者データ!$B$3:$B$502,"社員紹介",応募者データ!$M$3:$M$502,"面接調整中")+COUNTIFS(応募者データ!$B$3:$B$502,"社員紹介",応募者データ!$M$3:$M$502,"面接日確定")+COUNTIFS(応募者データ!$B$3:$B$502,"社員紹介",応募者データ!$M$3:$M$502,"面接実施済み")</f>
        <v/>
      </c>
      <c r="F31" s="36">
        <f>COUNTIFS(応募者データ!$B$3:$B$502,"社員紹介",応募者データ!$M$3:$M$502,"面接実施済み")</f>
        <v/>
      </c>
      <c r="G31" s="36">
        <f>COUNTIFS(応募者データ!$B$3:$B$502,"社員紹介",応募者データ!$O$3:$O$502,"採用")+COUNTIFS(応募者データ!$B$3:$B$502,"社員紹介",応募者データ!$O$3:$O$502,"入社予定")+COUNTIFS(応募者データ!$B$3:$B$502,"社員紹介",応募者データ!$O$3:$O$502,"採用辞退")+COUNTIFS(応募者データ!$B$3:$B$502,"社員紹介",応募者データ!$O$3:$O$502,"入社辞退")</f>
        <v/>
      </c>
      <c r="H31" s="36">
        <f>COUNTIFS(応募者データ!$B$3:$B$502,"社員紹介",応募者データ!$O$3:$O$502,"採用")+COUNTIFS(応募者データ!$B$3:$B$502,"社員紹介",応募者データ!$O$3:$O$502,"入社予定")</f>
        <v/>
      </c>
    </row>
    <row r="32">
      <c r="B32" s="10" t="inlineStr">
        <is>
          <t>HP</t>
        </is>
      </c>
      <c r="C32" s="11">
        <f>COUNTIFS(応募者データ!$B$3:$B$502,"HP")</f>
        <v/>
      </c>
      <c r="D32" s="11">
        <f>COUNTIFS(応募者データ!$B$3:$B$502,"HP",応募者データ!$K$3:$K$502,"通過")</f>
        <v/>
      </c>
      <c r="E32" s="11">
        <f>COUNTIFS(応募者データ!$B$3:$B$502,"HP",応募者データ!$M$3:$M$502,"面接調整中")+COUNTIFS(応募者データ!$B$3:$B$502,"HP",応募者データ!$M$3:$M$502,"面接日確定")+COUNTIFS(応募者データ!$B$3:$B$502,"HP",応募者データ!$M$3:$M$502,"面接実施済み")</f>
        <v/>
      </c>
      <c r="F32" s="11">
        <f>COUNTIFS(応募者データ!$B$3:$B$502,"HP",応募者データ!$M$3:$M$502,"面接実施済み")</f>
        <v/>
      </c>
      <c r="G32" s="11">
        <f>COUNTIFS(応募者データ!$B$3:$B$502,"HP",応募者データ!$O$3:$O$502,"採用")+COUNTIFS(応募者データ!$B$3:$B$502,"HP",応募者データ!$O$3:$O$502,"入社予定")+COUNTIFS(応募者データ!$B$3:$B$502,"HP",応募者データ!$O$3:$O$502,"採用辞退")+COUNTIFS(応募者データ!$B$3:$B$502,"HP",応募者データ!$O$3:$O$502,"入社辞退")</f>
        <v/>
      </c>
      <c r="H32" s="11">
        <f>COUNTIFS(応募者データ!$B$3:$B$502,"HP",応募者データ!$O$3:$O$502,"採用")+COUNTIFS(応募者データ!$B$3:$B$502,"HP",応募者データ!$O$3:$O$502,"入社予定")</f>
        <v/>
      </c>
    </row>
    <row r="33">
      <c r="B33" s="35" t="inlineStr">
        <is>
          <t>その他</t>
        </is>
      </c>
      <c r="C33" s="36">
        <f>COUNTIFS(応募者データ!$B$3:$B$502,"その他")</f>
        <v/>
      </c>
      <c r="D33" s="36">
        <f>COUNTIFS(応募者データ!$B$3:$B$502,"その他",応募者データ!$K$3:$K$502,"通過")</f>
        <v/>
      </c>
      <c r="E33" s="36">
        <f>COUNTIFS(応募者データ!$B$3:$B$502,"その他",応募者データ!$M$3:$M$502,"面接調整中")+COUNTIFS(応募者データ!$B$3:$B$502,"その他",応募者データ!$M$3:$M$502,"面接日確定")+COUNTIFS(応募者データ!$B$3:$B$502,"その他",応募者データ!$M$3:$M$502,"面接実施済み")</f>
        <v/>
      </c>
      <c r="F33" s="36">
        <f>COUNTIFS(応募者データ!$B$3:$B$502,"その他",応募者データ!$M$3:$M$502,"面接実施済み")</f>
        <v/>
      </c>
      <c r="G33" s="36">
        <f>COUNTIFS(応募者データ!$B$3:$B$502,"その他",応募者データ!$O$3:$O$502,"採用")+COUNTIFS(応募者データ!$B$3:$B$502,"その他",応募者データ!$O$3:$O$502,"入社予定")+COUNTIFS(応募者データ!$B$3:$B$502,"その他",応募者データ!$O$3:$O$502,"採用辞退")+COUNTIFS(応募者データ!$B$3:$B$502,"その他",応募者データ!$O$3:$O$502,"入社辞退")</f>
        <v/>
      </c>
      <c r="H33" s="36">
        <f>COUNTIFS(応募者データ!$B$3:$B$502,"その他",応募者データ!$O$3:$O$502,"採用")+COUNTIFS(応募者データ!$B$3:$B$502,"その他",応募者データ!$O$3:$O$502,"入社予定")</f>
        <v/>
      </c>
    </row>
    <row r="34">
      <c r="B34" s="37" t="inlineStr">
        <is>
          <t>合計</t>
        </is>
      </c>
      <c r="C34" s="38">
        <f>SUM(C28:C33)</f>
        <v/>
      </c>
      <c r="D34" s="38">
        <f>SUM(D28:D33)</f>
        <v/>
      </c>
      <c r="E34" s="38">
        <f>SUM(E28:E33)</f>
        <v/>
      </c>
      <c r="F34" s="38">
        <f>SUM(F28:F33)</f>
        <v/>
      </c>
      <c r="G34" s="38">
        <f>SUM(G28:G33)</f>
        <v/>
      </c>
      <c r="H34" s="38">
        <f>SUM(H28:H33)</f>
        <v/>
      </c>
    </row>
    <row r="36" ht="22" customHeight="1">
      <c r="B36" s="25" t="inlineStr">
        <is>
          <t>④  基地別 実績（NRT=成田 / CTS=千歳）</t>
        </is>
      </c>
    </row>
    <row r="37">
      <c r="B37" s="9" t="inlineStr">
        <is>
          <t>基地</t>
        </is>
      </c>
      <c r="C37" s="9" t="inlineStr">
        <is>
          <t>応募数</t>
        </is>
      </c>
      <c r="D37" s="9" t="inlineStr">
        <is>
          <t>書類通過</t>
        </is>
      </c>
      <c r="E37" s="9" t="inlineStr">
        <is>
          <t>面接設定</t>
        </is>
      </c>
      <c r="F37" s="9" t="inlineStr">
        <is>
          <t>面接実施</t>
        </is>
      </c>
      <c r="G37" s="9" t="inlineStr">
        <is>
          <t>内定</t>
        </is>
      </c>
      <c r="H37" s="9" t="inlineStr">
        <is>
          <t>承諾</t>
        </is>
      </c>
    </row>
    <row r="38">
      <c r="B38" s="10" t="inlineStr">
        <is>
          <t>NRT（成田）</t>
        </is>
      </c>
      <c r="C38" s="11">
        <f>COUNTIFS(応募者データ!$C$3:$C$502,"NRT")</f>
        <v/>
      </c>
      <c r="D38" s="11">
        <f>COUNTIFS(応募者データ!$C$3:$C$502,"NRT",応募者データ!$K$3:$K$502,"通過")</f>
        <v/>
      </c>
      <c r="E38" s="11">
        <f>COUNTIFS(応募者データ!$C$3:$C$502,"NRT",応募者データ!$M$3:$M$502,"面接調整中")+COUNTIFS(応募者データ!$C$3:$C$502,"NRT",応募者データ!$M$3:$M$502,"面接日確定")+COUNTIFS(応募者データ!$C$3:$C$502,"NRT",応募者データ!$M$3:$M$502,"面接実施済み")</f>
        <v/>
      </c>
      <c r="F38" s="11">
        <f>COUNTIFS(応募者データ!$C$3:$C$502,"NRT",応募者データ!$M$3:$M$502,"面接実施済み")</f>
        <v/>
      </c>
      <c r="G38" s="11">
        <f>COUNTIFS(応募者データ!$C$3:$C$502,"NRT",応募者データ!$O$3:$O$502,"採用")+COUNTIFS(応募者データ!$C$3:$C$502,"NRT",応募者データ!$O$3:$O$502,"入社予定")+COUNTIFS(応募者データ!$C$3:$C$502,"NRT",応募者データ!$O$3:$O$502,"採用辞退")+COUNTIFS(応募者データ!$C$3:$C$502,"NRT",応募者データ!$O$3:$O$502,"入社辞退")</f>
        <v/>
      </c>
      <c r="H38" s="11">
        <f>COUNTIFS(応募者データ!$C$3:$C$502,"NRT",応募者データ!$O$3:$O$502,"採用")+COUNTIFS(応募者データ!$C$3:$C$502,"NRT",応募者データ!$O$3:$O$502,"入社予定")</f>
        <v/>
      </c>
    </row>
    <row r="39">
      <c r="B39" s="10" t="inlineStr">
        <is>
          <t>CTS（千歳）</t>
        </is>
      </c>
      <c r="C39" s="11">
        <f>COUNTIFS(応募者データ!$C$3:$C$502,"CTS")</f>
        <v/>
      </c>
      <c r="D39" s="11">
        <f>COUNTIFS(応募者データ!$C$3:$C$502,"CTS",応募者データ!$K$3:$K$502,"通過")</f>
        <v/>
      </c>
      <c r="E39" s="11">
        <f>COUNTIFS(応募者データ!$C$3:$C$502,"CTS",応募者データ!$M$3:$M$502,"面接調整中")+COUNTIFS(応募者データ!$C$3:$C$502,"CTS",応募者データ!$M$3:$M$502,"面接日確定")+COUNTIFS(応募者データ!$C$3:$C$502,"CTS",応募者データ!$M$3:$M$502,"面接実施済み")</f>
        <v/>
      </c>
      <c r="F39" s="11">
        <f>COUNTIFS(応募者データ!$C$3:$C$502,"CTS",応募者データ!$M$3:$M$502,"面接実施済み")</f>
        <v/>
      </c>
      <c r="G39" s="11">
        <f>COUNTIFS(応募者データ!$C$3:$C$502,"CTS",応募者データ!$O$3:$O$502,"採用")+COUNTIFS(応募者データ!$C$3:$C$502,"CTS",応募者データ!$O$3:$O$502,"入社予定")+COUNTIFS(応募者データ!$C$3:$C$502,"CTS",応募者データ!$O$3:$O$502,"採用辞退")+COUNTIFS(応募者データ!$C$3:$C$502,"CTS",応募者データ!$O$3:$O$502,"入社辞退")</f>
        <v/>
      </c>
      <c r="H39" s="11">
        <f>COUNTIFS(応募者データ!$C$3:$C$502,"CTS",応募者データ!$O$3:$O$502,"採用")+COUNTIFS(応募者データ!$C$3:$C$502,"CTS",応募者データ!$O$3:$O$502,"入社予定")</f>
        <v/>
      </c>
    </row>
    <row r="41" ht="22" customHeight="1">
      <c r="B41" s="25" t="inlineStr">
        <is>
          <t>⑤  拠点別 採用目標 達成状況（承諾＝採用人数）</t>
        </is>
      </c>
    </row>
    <row r="42">
      <c r="B42" s="9" t="inlineStr">
        <is>
          <t>拠点</t>
        </is>
      </c>
      <c r="C42" s="9" t="inlineStr">
        <is>
          <t>採用目標</t>
        </is>
      </c>
      <c r="D42" s="9" t="inlineStr">
        <is>
          <t>承諾実績</t>
        </is>
      </c>
      <c r="E42" s="9" t="inlineStr">
        <is>
          <t>達成率</t>
        </is>
      </c>
    </row>
    <row r="43">
      <c r="B43" s="10" t="inlineStr">
        <is>
          <t>NRT（成田）</t>
        </is>
      </c>
      <c r="C43" s="11">
        <f>$D$5</f>
        <v/>
      </c>
      <c r="D43" s="11">
        <f>H38</f>
        <v/>
      </c>
      <c r="E43" s="33">
        <f>IFERROR(H38/$D$5,"")</f>
        <v/>
      </c>
    </row>
    <row r="44">
      <c r="B44" s="10" t="inlineStr">
        <is>
          <t>CTS（千歳）</t>
        </is>
      </c>
      <c r="C44" s="11">
        <f>$F$5</f>
        <v/>
      </c>
      <c r="D44" s="11">
        <f>H39</f>
        <v/>
      </c>
      <c r="E44" s="33">
        <f>IFERROR(H39/$F$5,"")</f>
        <v/>
      </c>
    </row>
    <row r="45">
      <c r="B45" s="37" t="inlineStr">
        <is>
          <t>合計</t>
        </is>
      </c>
      <c r="C45" s="38">
        <f>$H$5</f>
        <v/>
      </c>
      <c r="D45" s="38">
        <f>H38+H39</f>
        <v/>
      </c>
      <c r="E45" s="39">
        <f>IFERROR((H38+H39)/$H$5,"")</f>
        <v/>
      </c>
    </row>
    <row r="47" ht="22" customHeight="1">
      <c r="B47" s="25" t="inlineStr">
        <is>
          <t>⑥  応募者属性（累計）</t>
        </is>
      </c>
    </row>
    <row r="48">
      <c r="B48" s="9" t="inlineStr">
        <is>
          <t>男女</t>
        </is>
      </c>
      <c r="C48" s="9" t="inlineStr">
        <is>
          <t>人数</t>
        </is>
      </c>
      <c r="D48" s="9" t="inlineStr">
        <is>
          <t>構成比</t>
        </is>
      </c>
    </row>
    <row r="49">
      <c r="B49" s="40" t="inlineStr">
        <is>
          <t>男</t>
        </is>
      </c>
      <c r="C49" s="11">
        <f>COUNTIF(応募者データ!$G$3:$G$502,"男")</f>
        <v/>
      </c>
      <c r="D49" s="33">
        <f>IFERROR(C49/SUM(C49:C51),"")</f>
        <v/>
      </c>
    </row>
    <row r="50">
      <c r="B50" s="40" t="inlineStr">
        <is>
          <t>女</t>
        </is>
      </c>
      <c r="C50" s="11">
        <f>COUNTIF(応募者データ!$G$3:$G$502,"女")</f>
        <v/>
      </c>
      <c r="D50" s="33">
        <f>IFERROR(C50/SUM(C49:C51),"")</f>
        <v/>
      </c>
    </row>
    <row r="51">
      <c r="B51" s="40" t="inlineStr">
        <is>
          <t>未入力</t>
        </is>
      </c>
      <c r="C51" s="11">
        <f>COUNTA(応募者データ!$E$3:$E$502)-COUNTIF(応募者データ!$G$3:$G$502,"男")-COUNTIF(応募者データ!$G$3:$G$502,"女")</f>
        <v/>
      </c>
      <c r="D51" s="33">
        <f>IFERROR(C51/SUM(C49:C51),"")</f>
        <v/>
      </c>
    </row>
    <row r="53">
      <c r="B53" s="9" t="inlineStr">
        <is>
          <t>国籍</t>
        </is>
      </c>
      <c r="C53" s="9" t="inlineStr">
        <is>
          <t>人数</t>
        </is>
      </c>
      <c r="D53" s="9" t="inlineStr">
        <is>
          <t>構成比</t>
        </is>
      </c>
    </row>
    <row r="54">
      <c r="B54" s="40" t="inlineStr">
        <is>
          <t>日本</t>
        </is>
      </c>
      <c r="C54" s="11">
        <f>COUNTIF(応募者データ!$H$3:$H$502,"日本")</f>
        <v/>
      </c>
      <c r="D54" s="33">
        <f>IFERROR(C54/SUM(C54:C56),"")</f>
        <v/>
      </c>
    </row>
    <row r="55">
      <c r="B55" s="40" t="inlineStr">
        <is>
          <t>外国籍</t>
        </is>
      </c>
      <c r="C55" s="11">
        <f>COUNTIF(応募者データ!$H$3:$H$502,"外国籍")</f>
        <v/>
      </c>
      <c r="D55" s="33">
        <f>IFERROR(C55/SUM(C54:C56),"")</f>
        <v/>
      </c>
    </row>
    <row r="56">
      <c r="B56" s="40" t="inlineStr">
        <is>
          <t>未入力</t>
        </is>
      </c>
      <c r="C56" s="11">
        <f>COUNTA(応募者データ!$E$3:$E$502)-COUNTIF(応募者データ!$H$3:$H$502,"日本")-COUNTIF(応募者データ!$H$3:$H$502,"外国籍")</f>
        <v/>
      </c>
      <c r="D56" s="33">
        <f>IFERROR(C56/SUM(C54:C56),"")</f>
        <v/>
      </c>
    </row>
    <row r="58">
      <c r="B58" s="9" t="inlineStr">
        <is>
          <t>経験</t>
        </is>
      </c>
      <c r="C58" s="9" t="inlineStr">
        <is>
          <t>人数</t>
        </is>
      </c>
      <c r="D58" s="9" t="inlineStr">
        <is>
          <t>構成比</t>
        </is>
      </c>
    </row>
    <row r="59">
      <c r="B59" s="40" t="inlineStr">
        <is>
          <t>経験者</t>
        </is>
      </c>
      <c r="C59" s="11">
        <f>COUNTIF(応募者データ!$I$3:$I$502,"経験者")</f>
        <v/>
      </c>
      <c r="D59" s="33">
        <f>IFERROR(C59/SUM(C59:C61),"")</f>
        <v/>
      </c>
    </row>
    <row r="60">
      <c r="B60" s="40" t="inlineStr">
        <is>
          <t>未経験者</t>
        </is>
      </c>
      <c r="C60" s="11">
        <f>COUNTIF(応募者データ!$I$3:$I$502,"未経験者")</f>
        <v/>
      </c>
      <c r="D60" s="33">
        <f>IFERROR(C60/SUM(C59:C61),"")</f>
        <v/>
      </c>
    </row>
    <row r="61">
      <c r="B61" s="40" t="inlineStr">
        <is>
          <t>未入力</t>
        </is>
      </c>
      <c r="C61" s="11">
        <f>COUNTA(応募者データ!$E$3:$E$502)-COUNTIF(応募者データ!$I$3:$I$502,"経験者")-COUNTIF(応募者データ!$I$3:$I$502,"未経験者")</f>
        <v/>
      </c>
      <c r="D61" s="33">
        <f>IFERROR(C61/SUM(C59:C61),"")</f>
        <v/>
      </c>
    </row>
    <row r="63">
      <c r="B63" s="9" t="inlineStr">
        <is>
          <t>就業区分</t>
        </is>
      </c>
      <c r="C63" s="9" t="inlineStr">
        <is>
          <t>人数</t>
        </is>
      </c>
      <c r="D63" s="9" t="inlineStr">
        <is>
          <t>構成比</t>
        </is>
      </c>
    </row>
    <row r="64">
      <c r="B64" s="40" t="inlineStr">
        <is>
          <t>学生</t>
        </is>
      </c>
      <c r="C64" s="11">
        <f>COUNTIF(応募者データ!$J$3:$J$502,"学生")</f>
        <v/>
      </c>
      <c r="D64" s="33">
        <f>IFERROR(C64/SUM(C64:C69),"")</f>
        <v/>
      </c>
    </row>
    <row r="65">
      <c r="B65" s="40" t="inlineStr">
        <is>
          <t>フリーター</t>
        </is>
      </c>
      <c r="C65" s="11">
        <f>COUNTIF(応募者データ!$J$3:$J$502,"フリーター")</f>
        <v/>
      </c>
      <c r="D65" s="33">
        <f>IFERROR(C65/SUM(C64:C69),"")</f>
        <v/>
      </c>
    </row>
    <row r="66">
      <c r="B66" s="40" t="inlineStr">
        <is>
          <t>社会人</t>
        </is>
      </c>
      <c r="C66" s="11">
        <f>COUNTIF(応募者データ!$J$3:$J$502,"社会人")</f>
        <v/>
      </c>
      <c r="D66" s="33">
        <f>IFERROR(C66/SUM(C64:C69),"")</f>
        <v/>
      </c>
    </row>
    <row r="67">
      <c r="B67" s="40" t="inlineStr">
        <is>
          <t>主婦・主夫</t>
        </is>
      </c>
      <c r="C67" s="11">
        <f>COUNTIF(応募者データ!$J$3:$J$502,"主婦・主夫")</f>
        <v/>
      </c>
      <c r="D67" s="33">
        <f>IFERROR(C67/SUM(C64:C69),"")</f>
        <v/>
      </c>
    </row>
    <row r="68">
      <c r="B68" s="40" t="inlineStr">
        <is>
          <t>その他</t>
        </is>
      </c>
      <c r="C68" s="11">
        <f>COUNTIF(応募者データ!$J$3:$J$502,"その他")</f>
        <v/>
      </c>
      <c r="D68" s="33">
        <f>IFERROR(C68/SUM(C64:C69),"")</f>
        <v/>
      </c>
    </row>
    <row r="69">
      <c r="B69" s="40" t="inlineStr">
        <is>
          <t>未入力</t>
        </is>
      </c>
      <c r="C69" s="11">
        <f>COUNTA(応募者データ!$E$3:$E$502)-COUNTIF(応募者データ!$J$3:$J$502,"学生")-COUNTIF(応募者データ!$J$3:$J$502,"フリーター")-COUNTIF(応募者データ!$J$3:$J$502,"社会人")-COUNTIF(応募者データ!$J$3:$J$502,"主婦・主夫")-COUNTIF(応募者データ!$J$3:$J$502,"その他")</f>
        <v/>
      </c>
      <c r="D69" s="33">
        <f>IFERROR(C69/SUM(C64:C69),"")</f>
        <v/>
      </c>
    </row>
    <row r="71">
      <c r="B71" s="9" t="inlineStr">
        <is>
          <t>年齢分布</t>
        </is>
      </c>
      <c r="C71" s="9" t="inlineStr">
        <is>
          <t>人数</t>
        </is>
      </c>
      <c r="D71" s="9" t="inlineStr">
        <is>
          <t>構成比</t>
        </is>
      </c>
    </row>
    <row r="72">
      <c r="B72" s="40" t="inlineStr">
        <is>
          <t>〜19歳</t>
        </is>
      </c>
      <c r="C72" s="11">
        <f>COUNTIF(応募者データ!$F$3:$F$502,"&lt;=19")</f>
        <v/>
      </c>
      <c r="D72" s="33">
        <f>IFERROR(C72/SUM(C72:C77),"")</f>
        <v/>
      </c>
    </row>
    <row r="73">
      <c r="B73" s="40" t="inlineStr">
        <is>
          <t>20代</t>
        </is>
      </c>
      <c r="C73" s="11">
        <f>COUNTIFS(応募者データ!$F$3:$F$502,"&gt;=20",応募者データ!$F$3:$F$502,"&lt;=29")</f>
        <v/>
      </c>
      <c r="D73" s="33">
        <f>IFERROR(C73/SUM(C72:C77),"")</f>
        <v/>
      </c>
    </row>
    <row r="74">
      <c r="B74" s="40" t="inlineStr">
        <is>
          <t>30代</t>
        </is>
      </c>
      <c r="C74" s="11">
        <f>COUNTIFS(応募者データ!$F$3:$F$502,"&gt;=30",応募者データ!$F$3:$F$502,"&lt;=39")</f>
        <v/>
      </c>
      <c r="D74" s="33">
        <f>IFERROR(C74/SUM(C72:C77),"")</f>
        <v/>
      </c>
    </row>
    <row r="75">
      <c r="B75" s="40" t="inlineStr">
        <is>
          <t>40代</t>
        </is>
      </c>
      <c r="C75" s="11">
        <f>COUNTIFS(応募者データ!$F$3:$F$502,"&gt;=40",応募者データ!$F$3:$F$502,"&lt;=49")</f>
        <v/>
      </c>
      <c r="D75" s="33">
        <f>IFERROR(C75/SUM(C72:C77),"")</f>
        <v/>
      </c>
    </row>
    <row r="76">
      <c r="B76" s="40" t="inlineStr">
        <is>
          <t>50代</t>
        </is>
      </c>
      <c r="C76" s="11">
        <f>COUNTIFS(応募者データ!$F$3:$F$502,"&gt;=50",応募者データ!$F$3:$F$502,"&lt;=59")</f>
        <v/>
      </c>
      <c r="D76" s="33">
        <f>IFERROR(C76/SUM(C72:C77),"")</f>
        <v/>
      </c>
    </row>
    <row r="77">
      <c r="B77" s="40" t="inlineStr">
        <is>
          <t>60歳〜</t>
        </is>
      </c>
      <c r="C77" s="11">
        <f>COUNTIF(応募者データ!$F$3:$F$502,"&gt;=60")</f>
        <v/>
      </c>
      <c r="D77" s="33">
        <f>IFERROR(C77/SUM(C72:C77),"")</f>
        <v/>
      </c>
    </row>
    <row r="80">
      <c r="B80" s="41" t="inlineStr">
        <is>
          <t>◆ 凡例・定義</t>
        </is>
      </c>
    </row>
    <row r="81">
      <c r="B81" s="42" t="inlineStr">
        <is>
          <t>・黄色セル＝入力。採用目標（NRT/CTSの承諾人数）と歩留まり前提を入れると、各段階の目標を自動逆算します。</t>
        </is>
      </c>
    </row>
    <row r="82">
      <c r="B82" s="42" t="inlineStr">
        <is>
          <t>・目標列＝承諾目標から逆算（承諾20名→内定25→面接実施42→面接設定50→書類通過72→応募144）。歩留まりを変えれば再計算されます。</t>
        </is>
      </c>
    </row>
    <row r="83">
      <c r="B83" s="42" t="inlineStr">
        <is>
          <t>・実績・属性は［応募者データ］から自動集計。担当者は毎日そこを更新するだけです。経験／就業区分は各明細で入力してください。</t>
        </is>
      </c>
    </row>
    <row r="84">
      <c r="B84" s="42" t="inlineStr">
        <is>
          <t>・前日／前日比は［日次レポート］の最終記録行との差分。毎日EODに1行追記してください。</t>
        </is>
      </c>
    </row>
    <row r="85">
      <c r="B85" s="42" t="inlineStr">
        <is>
          <t>・面接設定＝「面接調整中／面接日確定／面接実施済み」。内定＝採用が「採用／入社予定／採用辞退／入社辞退」。承諾＝「採用／入社予定」。</t>
        </is>
      </c>
    </row>
  </sheetData>
  <mergeCells count="20">
    <mergeCell ref="B84:H84"/>
    <mergeCell ref="B9:H9"/>
    <mergeCell ref="B83:H83"/>
    <mergeCell ref="D24:G24"/>
    <mergeCell ref="B80:H80"/>
    <mergeCell ref="B85:H85"/>
    <mergeCell ref="D23:G23"/>
    <mergeCell ref="B36:H36"/>
    <mergeCell ref="B26:H26"/>
    <mergeCell ref="B41:H41"/>
    <mergeCell ref="B4:H4"/>
    <mergeCell ref="D20:G20"/>
    <mergeCell ref="B47:H47"/>
    <mergeCell ref="B81:H81"/>
    <mergeCell ref="D22:G22"/>
    <mergeCell ref="B18:H18"/>
    <mergeCell ref="D21:G21"/>
    <mergeCell ref="B2:H2"/>
    <mergeCell ref="B1:H1"/>
    <mergeCell ref="B82:H82"/>
  </mergeCells>
  <conditionalFormatting sqref="E11:E16">
    <cfRule type="cellIs" priority="1" operator="greaterThanOrEqual" dxfId="0">
      <formula>1</formula>
    </cfRule>
    <cfRule type="cellIs" priority="2" operator="between" dxfId="1">
      <formula>0.7</formula>
      <formula>0.9999</formula>
    </cfRule>
    <cfRule type="cellIs" priority="3" operator="lessThan" dxfId="2">
      <formula>0.7</formula>
    </cfRule>
  </conditionalFormatting>
  <conditionalFormatting sqref="G11:G16">
    <cfRule type="cellIs" priority="4" operator="greaterThan" dxfId="0">
      <formula>0</formula>
    </cfRule>
    <cfRule type="cellIs" priority="5" operator="lessThan" dxfId="3">
      <formula>0</formula>
    </cfRule>
  </conditionalFormatting>
  <conditionalFormatting sqref="E43:E45">
    <cfRule type="cellIs" priority="6" operator="greaterThanOrEqual" dxfId="0">
      <formula>1</formula>
    </cfRule>
    <cfRule type="cellIs" priority="7" operator="between" dxfId="1">
      <formula>0.7</formula>
      <formula>0.9999</formula>
    </cfRule>
    <cfRule type="cellIs" priority="8" operator="lessThan" dxfId="2">
      <formula>0.7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9" customWidth="1" min="5" max="5"/>
    <col width="7" customWidth="1" min="6" max="6"/>
    <col width="7" customWidth="1" min="7" max="7"/>
    <col width="12" customWidth="1" min="8" max="8"/>
    <col width="30" customWidth="1" min="9" max="9"/>
    <col width="14" customWidth="1" min="11" max="11"/>
    <col width="9" customWidth="1" min="12" max="12"/>
  </cols>
  <sheetData>
    <row r="1" ht="24" customHeight="1">
      <c r="A1" s="43" t="inlineStr">
        <is>
          <t>日次レポート（毎日 EOD に担当者が1行追記）</t>
        </is>
      </c>
    </row>
    <row r="2" ht="30" customHeight="1">
      <c r="A2" s="44" t="inlineStr">
        <is>
          <t>使い方：応募者データを更新後、当日の累計値を下表に1行追記します（右の「現在の累計値」を転記でOK）。ダッシュボードの前日比・推移グラフに自動反映されます。灰色の行はサンプルです。実データ入力時に削除してください。</t>
        </is>
      </c>
    </row>
    <row r="3">
      <c r="A3" s="38" t="inlineStr">
        <is>
          <t>日付</t>
        </is>
      </c>
      <c r="B3" s="38" t="inlineStr">
        <is>
          <t>応募数</t>
        </is>
      </c>
      <c r="C3" s="38" t="inlineStr">
        <is>
          <t>書類通過</t>
        </is>
      </c>
      <c r="D3" s="38" t="inlineStr">
        <is>
          <t>面接設定</t>
        </is>
      </c>
      <c r="E3" s="38" t="inlineStr">
        <is>
          <t>面接実施</t>
        </is>
      </c>
      <c r="F3" s="38" t="inlineStr">
        <is>
          <t>内定</t>
        </is>
      </c>
      <c r="G3" s="38" t="inlineStr">
        <is>
          <t>承諾</t>
        </is>
      </c>
      <c r="H3" s="38" t="inlineStr">
        <is>
          <t>担当者</t>
        </is>
      </c>
      <c r="I3" s="38" t="inlineStr">
        <is>
          <t>備考</t>
        </is>
      </c>
      <c r="K3" s="45" t="inlineStr">
        <is>
          <t>現在の累計値（自動）</t>
        </is>
      </c>
    </row>
    <row r="4">
      <c r="A4" s="46" t="n">
        <v>46234</v>
      </c>
      <c r="B4" s="47" t="n">
        <v>12</v>
      </c>
      <c r="C4" s="47" t="n">
        <v>1</v>
      </c>
      <c r="D4" s="47" t="n">
        <v>1</v>
      </c>
      <c r="E4" s="47" t="n">
        <v>0</v>
      </c>
      <c r="F4" s="47" t="n">
        <v>0</v>
      </c>
      <c r="G4" s="47" t="n">
        <v>0</v>
      </c>
      <c r="H4" s="48" t="inlineStr">
        <is>
          <t>（サンプル）</t>
        </is>
      </c>
      <c r="I4" s="48" t="inlineStr">
        <is>
          <t>← サンプル：削除して実データを入力</t>
        </is>
      </c>
      <c r="K4" s="49" t="inlineStr">
        <is>
          <t>応募数</t>
        </is>
      </c>
      <c r="L4" s="11">
        <f>COUNTA(応募者データ!$E$3:$E$502)</f>
        <v/>
      </c>
    </row>
    <row r="5">
      <c r="A5" s="46" t="n">
        <v>46235</v>
      </c>
      <c r="B5" s="47" t="n">
        <v>13</v>
      </c>
      <c r="C5" s="47" t="n">
        <v>2</v>
      </c>
      <c r="D5" s="47" t="n">
        <v>2</v>
      </c>
      <c r="E5" s="47" t="n">
        <v>0</v>
      </c>
      <c r="F5" s="47" t="n">
        <v>0</v>
      </c>
      <c r="G5" s="47" t="n">
        <v>0</v>
      </c>
      <c r="H5" s="48" t="inlineStr">
        <is>
          <t>（サンプル）</t>
        </is>
      </c>
      <c r="I5" s="48" t="inlineStr"/>
      <c r="K5" s="49" t="inlineStr">
        <is>
          <t>書類通過</t>
        </is>
      </c>
      <c r="L5" s="11">
        <f>COUNTIF(応募者データ!$K$3:$K$502,"通過")</f>
        <v/>
      </c>
    </row>
    <row r="6">
      <c r="A6" s="46" t="n">
        <v>46236</v>
      </c>
      <c r="B6" s="47" t="n">
        <v>14</v>
      </c>
      <c r="C6" s="47" t="n">
        <v>2</v>
      </c>
      <c r="D6" s="47" t="n">
        <v>2</v>
      </c>
      <c r="E6" s="47" t="n">
        <v>0</v>
      </c>
      <c r="F6" s="47" t="n">
        <v>0</v>
      </c>
      <c r="G6" s="47" t="n">
        <v>0</v>
      </c>
      <c r="H6" s="48" t="inlineStr">
        <is>
          <t>（サンプル）</t>
        </is>
      </c>
      <c r="I6" s="48" t="inlineStr"/>
      <c r="K6" s="49" t="inlineStr">
        <is>
          <t>面接設定</t>
        </is>
      </c>
      <c r="L6" s="11">
        <f>COUNTIF(応募者データ!$M$3:$M$502,"面接調整中")+COUNTIF(応募者データ!$M$3:$M$502,"面接日確定")+COUNTIF(応募者データ!$M$3:$M$502,"面接実施済み")</f>
        <v/>
      </c>
    </row>
    <row r="7">
      <c r="A7" s="50" t="n"/>
      <c r="B7" s="5" t="n"/>
      <c r="C7" s="5" t="n"/>
      <c r="D7" s="5" t="n"/>
      <c r="E7" s="5" t="n"/>
      <c r="F7" s="5" t="n"/>
      <c r="G7" s="5" t="n"/>
      <c r="H7" s="5" t="n"/>
      <c r="I7" s="5" t="n"/>
      <c r="K7" s="49" t="inlineStr">
        <is>
          <t>面接実施</t>
        </is>
      </c>
      <c r="L7" s="11">
        <f>COUNTIF(応募者データ!$M$3:$M$502,"面接実施済み")</f>
        <v/>
      </c>
    </row>
    <row r="8">
      <c r="A8" s="50" t="n"/>
      <c r="B8" s="5" t="n"/>
      <c r="C8" s="5" t="n"/>
      <c r="D8" s="5" t="n"/>
      <c r="E8" s="5" t="n"/>
      <c r="F8" s="5" t="n"/>
      <c r="G8" s="5" t="n"/>
      <c r="H8" s="5" t="n"/>
      <c r="I8" s="5" t="n"/>
      <c r="K8" s="49" t="inlineStr">
        <is>
          <t>内定</t>
        </is>
      </c>
      <c r="L8" s="11">
        <f>COUNTIF(応募者データ!$O$3:$O$502,"採用")+COUNTIF(応募者データ!$O$3:$O$502,"入社予定")+COUNTIF(応募者データ!$O$3:$O$502,"採用辞退")+COUNTIF(応募者データ!$O$3:$O$502,"入社辞退")</f>
        <v/>
      </c>
    </row>
    <row r="9">
      <c r="A9" s="50" t="n"/>
      <c r="B9" s="5" t="n"/>
      <c r="C9" s="5" t="n"/>
      <c r="D9" s="5" t="n"/>
      <c r="E9" s="5" t="n"/>
      <c r="F9" s="5" t="n"/>
      <c r="G9" s="5" t="n"/>
      <c r="H9" s="5" t="n"/>
      <c r="I9" s="5" t="n"/>
      <c r="K9" s="49" t="inlineStr">
        <is>
          <t>承諾</t>
        </is>
      </c>
      <c r="L9" s="11">
        <f>COUNTIF(応募者データ!$O$3:$O$502,"採用")+COUNTIF(応募者データ!$O$3:$O$502,"入社予定")</f>
        <v/>
      </c>
    </row>
    <row r="10">
      <c r="A10" s="50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50" t="n"/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50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50" t="n"/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50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50" t="n"/>
      <c r="B15" s="5" t="n"/>
      <c r="C15" s="5" t="n"/>
      <c r="D15" s="5" t="n"/>
      <c r="E15" s="5" t="n"/>
      <c r="F15" s="5" t="n"/>
      <c r="G15" s="5" t="n"/>
      <c r="H15" s="5" t="n"/>
      <c r="I15" s="5" t="n"/>
    </row>
    <row r="16">
      <c r="A16" s="50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50" t="n"/>
      <c r="B17" s="5" t="n"/>
      <c r="C17" s="5" t="n"/>
      <c r="D17" s="5" t="n"/>
      <c r="E17" s="5" t="n"/>
      <c r="F17" s="5" t="n"/>
      <c r="G17" s="5" t="n"/>
      <c r="H17" s="5" t="n"/>
      <c r="I17" s="5" t="n"/>
    </row>
    <row r="18">
      <c r="A18" s="50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50" t="n"/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50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50" t="n"/>
      <c r="B21" s="5" t="n"/>
      <c r="C21" s="5" t="n"/>
      <c r="D21" s="5" t="n"/>
      <c r="E21" s="5" t="n"/>
      <c r="F21" s="5" t="n"/>
      <c r="G21" s="5" t="n"/>
      <c r="H21" s="5" t="n"/>
      <c r="I21" s="5" t="n"/>
    </row>
    <row r="22">
      <c r="A22" s="50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50" t="n"/>
      <c r="B23" s="5" t="n"/>
      <c r="C23" s="5" t="n"/>
      <c r="D23" s="5" t="n"/>
      <c r="E23" s="5" t="n"/>
      <c r="F23" s="5" t="n"/>
      <c r="G23" s="5" t="n"/>
      <c r="H23" s="5" t="n"/>
      <c r="I23" s="5" t="n"/>
    </row>
    <row r="24">
      <c r="A24" s="50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50" t="n"/>
      <c r="B25" s="5" t="n"/>
      <c r="C25" s="5" t="n"/>
      <c r="D25" s="5" t="n"/>
      <c r="E25" s="5" t="n"/>
      <c r="F25" s="5" t="n"/>
      <c r="G25" s="5" t="n"/>
      <c r="H25" s="5" t="n"/>
      <c r="I25" s="5" t="n"/>
    </row>
    <row r="26">
      <c r="A26" s="50" t="n"/>
      <c r="B26" s="5" t="n"/>
      <c r="C26" s="5" t="n"/>
      <c r="D26" s="5" t="n"/>
      <c r="E26" s="5" t="n"/>
      <c r="F26" s="5" t="n"/>
      <c r="G26" s="5" t="n"/>
      <c r="H26" s="5" t="n"/>
      <c r="I26" s="5" t="n"/>
    </row>
  </sheetData>
  <mergeCells count="3">
    <mergeCell ref="A1:I1"/>
    <mergeCell ref="A2:I2"/>
    <mergeCell ref="K3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7" customWidth="1" min="3" max="3"/>
    <col width="11" customWidth="1" min="4" max="4"/>
    <col width="16" customWidth="1" min="5" max="5"/>
    <col width="6" customWidth="1" min="6" max="6"/>
    <col width="6" customWidth="1" min="7" max="7"/>
    <col width="8" customWidth="1" min="8" max="8"/>
    <col width="9" customWidth="1" min="9" max="9"/>
    <col width="10" customWidth="1" min="10" max="10"/>
    <col width="10" customWidth="1" min="11" max="11"/>
    <col width="12" customWidth="1" min="12" max="12"/>
    <col width="12" customWidth="1" min="13" max="13"/>
    <col width="14" customWidth="1" min="14" max="14"/>
    <col width="10" customWidth="1" min="15" max="15"/>
    <col width="26" customWidth="1" min="16" max="16"/>
  </cols>
  <sheetData>
    <row r="1" ht="24" customHeight="1">
      <c r="A1" s="43" t="inlineStr">
        <is>
          <t>応募者データ（明細）　― 毎日ここを更新。ダッシュボード・社長報告は自動集計されます ―</t>
        </is>
      </c>
    </row>
    <row r="2">
      <c r="A2" s="38" t="inlineStr">
        <is>
          <t>No.</t>
        </is>
      </c>
      <c r="B2" s="38" t="inlineStr">
        <is>
          <t>媒体</t>
        </is>
      </c>
      <c r="C2" s="38" t="inlineStr">
        <is>
          <t>基地</t>
        </is>
      </c>
      <c r="D2" s="38" t="inlineStr">
        <is>
          <t>応募日</t>
        </is>
      </c>
      <c r="E2" s="38" t="inlineStr">
        <is>
          <t>氏名</t>
        </is>
      </c>
      <c r="F2" s="38" t="inlineStr">
        <is>
          <t>年齢</t>
        </is>
      </c>
      <c r="G2" s="38" t="inlineStr">
        <is>
          <t>性別</t>
        </is>
      </c>
      <c r="H2" s="38" t="inlineStr">
        <is>
          <t>国籍</t>
        </is>
      </c>
      <c r="I2" s="38" t="inlineStr">
        <is>
          <t>経験</t>
        </is>
      </c>
      <c r="J2" s="38" t="inlineStr">
        <is>
          <t>属性</t>
        </is>
      </c>
      <c r="K2" s="38" t="inlineStr">
        <is>
          <t>書類選考</t>
        </is>
      </c>
      <c r="L2" s="38" t="inlineStr">
        <is>
          <t>書類NG理由</t>
        </is>
      </c>
      <c r="M2" s="38" t="inlineStr">
        <is>
          <t>面接</t>
        </is>
      </c>
      <c r="N2" s="38" t="inlineStr">
        <is>
          <t>面接NG理由</t>
        </is>
      </c>
      <c r="O2" s="38" t="inlineStr">
        <is>
          <t>採用</t>
        </is>
      </c>
      <c r="P2" s="38" t="inlineStr">
        <is>
          <t>備考</t>
        </is>
      </c>
    </row>
    <row r="3">
      <c r="A3" s="11" t="n">
        <v>1</v>
      </c>
      <c r="B3" s="11" t="inlineStr">
        <is>
          <t>バイトル</t>
        </is>
      </c>
      <c r="C3" s="11" t="inlineStr">
        <is>
          <t>NRT</t>
        </is>
      </c>
      <c r="D3" s="51" t="n">
        <v>46227</v>
      </c>
      <c r="E3" s="40" t="inlineStr">
        <is>
          <t>日高 秀光</t>
        </is>
      </c>
      <c r="F3" s="11" t="n">
        <v>73</v>
      </c>
      <c r="G3" s="11" t="inlineStr">
        <is>
          <t>男</t>
        </is>
      </c>
      <c r="H3" s="11" t="inlineStr">
        <is>
          <t>日本</t>
        </is>
      </c>
      <c r="I3" s="11" t="n"/>
      <c r="J3" s="11" t="n"/>
      <c r="K3" s="11" t="inlineStr">
        <is>
          <t>不通過</t>
        </is>
      </c>
      <c r="L3" s="40" t="inlineStr">
        <is>
          <t>年齢</t>
        </is>
      </c>
      <c r="M3" s="11" t="inlineStr">
        <is>
          <t>未設定</t>
        </is>
      </c>
      <c r="N3" s="40" t="n"/>
      <c r="O3" s="11" t="inlineStr">
        <is>
          <t>不採用</t>
        </is>
      </c>
      <c r="P3" s="40" t="n"/>
    </row>
    <row r="4">
      <c r="A4" s="11" t="n">
        <v>2</v>
      </c>
      <c r="B4" s="11" t="inlineStr">
        <is>
          <t>バイトル</t>
        </is>
      </c>
      <c r="C4" s="11" t="inlineStr">
        <is>
          <t>NRT</t>
        </is>
      </c>
      <c r="D4" s="51" t="n">
        <v>46230</v>
      </c>
      <c r="E4" s="40" t="inlineStr">
        <is>
          <t>浅利 真弓</t>
        </is>
      </c>
      <c r="F4" s="11" t="n">
        <v>63</v>
      </c>
      <c r="G4" s="11" t="inlineStr">
        <is>
          <t>女</t>
        </is>
      </c>
      <c r="H4" s="11" t="inlineStr">
        <is>
          <t>日本</t>
        </is>
      </c>
      <c r="I4" s="11" t="n"/>
      <c r="J4" s="11" t="n"/>
      <c r="K4" s="11" t="inlineStr">
        <is>
          <t>不通過</t>
        </is>
      </c>
      <c r="L4" s="40" t="inlineStr">
        <is>
          <t>年齢</t>
        </is>
      </c>
      <c r="M4" s="11" t="inlineStr">
        <is>
          <t>未設定</t>
        </is>
      </c>
      <c r="N4" s="40" t="n"/>
      <c r="O4" s="11" t="inlineStr">
        <is>
          <t>不採用</t>
        </is>
      </c>
      <c r="P4" s="40" t="n"/>
    </row>
    <row r="5">
      <c r="A5" s="11" t="n">
        <v>3</v>
      </c>
      <c r="B5" s="11" t="inlineStr">
        <is>
          <t>バイトル</t>
        </is>
      </c>
      <c r="C5" s="11" t="inlineStr">
        <is>
          <t>NRT</t>
        </is>
      </c>
      <c r="D5" s="51" t="n">
        <v>46231</v>
      </c>
      <c r="E5" s="40" t="inlineStr">
        <is>
          <t>浅木 洋二</t>
        </is>
      </c>
      <c r="F5" s="11" t="n">
        <v>76</v>
      </c>
      <c r="G5" s="11" t="inlineStr">
        <is>
          <t>男</t>
        </is>
      </c>
      <c r="H5" s="11" t="inlineStr">
        <is>
          <t>日本</t>
        </is>
      </c>
      <c r="I5" s="11" t="n"/>
      <c r="J5" s="11" t="n"/>
      <c r="K5" s="11" t="inlineStr">
        <is>
          <t>不通過</t>
        </is>
      </c>
      <c r="L5" s="40" t="inlineStr">
        <is>
          <t>年齢</t>
        </is>
      </c>
      <c r="M5" s="11" t="inlineStr">
        <is>
          <t>未設定</t>
        </is>
      </c>
      <c r="N5" s="40" t="n"/>
      <c r="O5" s="11" t="inlineStr">
        <is>
          <t>不採用</t>
        </is>
      </c>
      <c r="P5" s="40" t="n"/>
    </row>
    <row r="6">
      <c r="A6" s="11" t="n">
        <v>4</v>
      </c>
      <c r="B6" s="11" t="inlineStr">
        <is>
          <t>バイトル</t>
        </is>
      </c>
      <c r="C6" s="11" t="inlineStr">
        <is>
          <t>NRT</t>
        </is>
      </c>
      <c r="D6" s="51" t="n">
        <v>46231</v>
      </c>
      <c r="E6" s="40" t="inlineStr">
        <is>
          <t>佐伯 幸男</t>
        </is>
      </c>
      <c r="F6" s="11" t="n">
        <v>55</v>
      </c>
      <c r="G6" s="11" t="inlineStr">
        <is>
          <t>男</t>
        </is>
      </c>
      <c r="H6" s="11" t="inlineStr">
        <is>
          <t>日本</t>
        </is>
      </c>
      <c r="I6" s="11" t="n"/>
      <c r="J6" s="11" t="n"/>
      <c r="K6" s="11" t="inlineStr">
        <is>
          <t>不通過</t>
        </is>
      </c>
      <c r="L6" s="40" t="inlineStr">
        <is>
          <t>年齢</t>
        </is>
      </c>
      <c r="M6" s="11" t="inlineStr">
        <is>
          <t>未設定</t>
        </is>
      </c>
      <c r="N6" s="40" t="n"/>
      <c r="O6" s="11" t="inlineStr">
        <is>
          <t>不採用</t>
        </is>
      </c>
      <c r="P6" s="40" t="n"/>
    </row>
    <row r="7">
      <c r="A7" s="11" t="n">
        <v>5</v>
      </c>
      <c r="B7" s="11" t="inlineStr">
        <is>
          <t>バイトル</t>
        </is>
      </c>
      <c r="C7" s="11" t="inlineStr">
        <is>
          <t>NRT</t>
        </is>
      </c>
      <c r="D7" s="51" t="n">
        <v>46232</v>
      </c>
      <c r="E7" s="40" t="inlineStr">
        <is>
          <t>町田 侑里夏</t>
        </is>
      </c>
      <c r="F7" s="11" t="n">
        <v>21</v>
      </c>
      <c r="G7" s="11" t="inlineStr">
        <is>
          <t>女</t>
        </is>
      </c>
      <c r="H7" s="11" t="inlineStr">
        <is>
          <t>日本</t>
        </is>
      </c>
      <c r="I7" s="11" t="n"/>
      <c r="J7" s="11" t="n"/>
      <c r="K7" s="11" t="inlineStr">
        <is>
          <t>通過</t>
        </is>
      </c>
      <c r="L7" s="40" t="n"/>
      <c r="M7" s="11" t="inlineStr">
        <is>
          <t>面接調整中</t>
        </is>
      </c>
      <c r="N7" s="40" t="n"/>
      <c r="O7" s="11" t="inlineStr">
        <is>
          <t>選考中</t>
        </is>
      </c>
      <c r="P7" s="40" t="n"/>
    </row>
    <row r="8">
      <c r="A8" s="11" t="n">
        <v>6</v>
      </c>
      <c r="B8" s="11" t="inlineStr">
        <is>
          <t>バイトル</t>
        </is>
      </c>
      <c r="C8" s="11" t="inlineStr">
        <is>
          <t>NRT</t>
        </is>
      </c>
      <c r="D8" s="51" t="n">
        <v>46233</v>
      </c>
      <c r="E8" s="40" t="inlineStr">
        <is>
          <t>三木 祐樹</t>
        </is>
      </c>
      <c r="F8" s="11" t="n">
        <v>38</v>
      </c>
      <c r="G8" s="11" t="inlineStr">
        <is>
          <t>男</t>
        </is>
      </c>
      <c r="H8" s="11" t="inlineStr">
        <is>
          <t>日本</t>
        </is>
      </c>
      <c r="I8" s="11" t="n"/>
      <c r="J8" s="11" t="n"/>
      <c r="K8" s="11" t="inlineStr">
        <is>
          <t>不通過</t>
        </is>
      </c>
      <c r="L8" s="40" t="inlineStr">
        <is>
          <t>年齢</t>
        </is>
      </c>
      <c r="M8" s="11" t="inlineStr">
        <is>
          <t>未設定</t>
        </is>
      </c>
      <c r="N8" s="40" t="n"/>
      <c r="O8" s="11" t="inlineStr">
        <is>
          <t>不採用</t>
        </is>
      </c>
      <c r="P8" s="40" t="n"/>
    </row>
    <row r="9">
      <c r="A9" s="11" t="n">
        <v>7</v>
      </c>
      <c r="B9" s="11" t="inlineStr">
        <is>
          <t>バイトル</t>
        </is>
      </c>
      <c r="C9" s="11" t="inlineStr">
        <is>
          <t>NRT</t>
        </is>
      </c>
      <c r="D9" s="51" t="n">
        <v>46233</v>
      </c>
      <c r="E9" s="40" t="inlineStr">
        <is>
          <t>金澤 拓也</t>
        </is>
      </c>
      <c r="F9" s="11" t="n">
        <v>19</v>
      </c>
      <c r="G9" s="11" t="inlineStr">
        <is>
          <t>男</t>
        </is>
      </c>
      <c r="H9" s="11" t="inlineStr">
        <is>
          <t>日本</t>
        </is>
      </c>
      <c r="I9" s="11" t="n"/>
      <c r="J9" s="11" t="n"/>
      <c r="K9" s="11" t="inlineStr">
        <is>
          <t>通過</t>
        </is>
      </c>
      <c r="L9" s="40" t="n"/>
      <c r="M9" s="11" t="inlineStr">
        <is>
          <t>面接調整中</t>
        </is>
      </c>
      <c r="N9" s="40" t="n"/>
      <c r="O9" s="11" t="inlineStr">
        <is>
          <t>選考中</t>
        </is>
      </c>
      <c r="P9" s="40" t="n"/>
    </row>
    <row r="10">
      <c r="A10" s="11" t="n">
        <v>8</v>
      </c>
      <c r="B10" s="11" t="inlineStr">
        <is>
          <t>バイトル</t>
        </is>
      </c>
      <c r="C10" s="11" t="inlineStr">
        <is>
          <t>NRT</t>
        </is>
      </c>
      <c r="D10" s="51" t="n">
        <v>46233</v>
      </c>
      <c r="E10" s="40" t="inlineStr">
        <is>
          <t>NGUYEN NGOC DINH</t>
        </is>
      </c>
      <c r="F10" s="11" t="n">
        <v>25</v>
      </c>
      <c r="G10" s="11" t="inlineStr">
        <is>
          <t>男</t>
        </is>
      </c>
      <c r="H10" s="11" t="inlineStr">
        <is>
          <t>外国籍</t>
        </is>
      </c>
      <c r="I10" s="11" t="n"/>
      <c r="J10" s="11" t="n"/>
      <c r="K10" s="11" t="inlineStr">
        <is>
          <t>不通過</t>
        </is>
      </c>
      <c r="L10" s="40" t="inlineStr">
        <is>
          <t>日本語力</t>
        </is>
      </c>
      <c r="M10" s="11" t="inlineStr">
        <is>
          <t>未設定</t>
        </is>
      </c>
      <c r="N10" s="40" t="n"/>
      <c r="O10" s="11" t="inlineStr">
        <is>
          <t>不採用</t>
        </is>
      </c>
      <c r="P10" s="40" t="inlineStr">
        <is>
          <t>N3</t>
        </is>
      </c>
    </row>
    <row r="11">
      <c r="A11" s="11" t="n">
        <v>9</v>
      </c>
      <c r="B11" s="11" t="inlineStr">
        <is>
          <t>バイトル</t>
        </is>
      </c>
      <c r="C11" s="11" t="inlineStr">
        <is>
          <t>NRT</t>
        </is>
      </c>
      <c r="D11" s="51" t="n">
        <v>46236</v>
      </c>
      <c r="E11" s="40" t="inlineStr">
        <is>
          <t>Hashini Navodya</t>
        </is>
      </c>
      <c r="F11" s="11" t="n">
        <v>21</v>
      </c>
      <c r="G11" s="11" t="inlineStr">
        <is>
          <t>女</t>
        </is>
      </c>
      <c r="H11" s="11" t="inlineStr">
        <is>
          <t>外国籍</t>
        </is>
      </c>
      <c r="I11" s="11" t="n"/>
      <c r="J11" s="11" t="n"/>
      <c r="K11" s="11" t="inlineStr">
        <is>
          <t>確認中</t>
        </is>
      </c>
      <c r="L11" s="40" t="n"/>
      <c r="M11" s="11" t="inlineStr">
        <is>
          <t>未設定</t>
        </is>
      </c>
      <c r="N11" s="40" t="n"/>
      <c r="O11" s="11" t="inlineStr">
        <is>
          <t>選考中</t>
        </is>
      </c>
      <c r="P11" s="40" t="n"/>
    </row>
    <row r="12">
      <c r="A12" s="11" t="n">
        <v>10</v>
      </c>
      <c r="B12" s="11" t="inlineStr">
        <is>
          <t>バイトル</t>
        </is>
      </c>
      <c r="C12" s="11" t="inlineStr">
        <is>
          <t>NRT</t>
        </is>
      </c>
      <c r="D12" s="51" t="n">
        <v>46236</v>
      </c>
      <c r="E12" s="40" t="inlineStr">
        <is>
          <t>JARGALBAYAR ENKHBAYAN</t>
        </is>
      </c>
      <c r="F12" s="11" t="n">
        <v>21</v>
      </c>
      <c r="G12" s="11" t="inlineStr">
        <is>
          <t>男</t>
        </is>
      </c>
      <c r="H12" s="11" t="inlineStr">
        <is>
          <t>外国籍</t>
        </is>
      </c>
      <c r="I12" s="11" t="n"/>
      <c r="J12" s="11" t="n"/>
      <c r="K12" s="11" t="inlineStr">
        <is>
          <t>確認中</t>
        </is>
      </c>
      <c r="L12" s="40" t="n"/>
      <c r="M12" s="11" t="inlineStr">
        <is>
          <t>未設定</t>
        </is>
      </c>
      <c r="N12" s="40" t="n"/>
      <c r="O12" s="11" t="inlineStr">
        <is>
          <t>選考中</t>
        </is>
      </c>
      <c r="P12" s="40" t="n"/>
    </row>
    <row r="13">
      <c r="A13" s="11" t="n">
        <v>11</v>
      </c>
      <c r="B13" s="11" t="inlineStr">
        <is>
          <t>バイトル</t>
        </is>
      </c>
      <c r="C13" s="11" t="inlineStr">
        <is>
          <t>NRT</t>
        </is>
      </c>
      <c r="D13" s="51" t="n">
        <v>46237</v>
      </c>
      <c r="E13" s="40" t="inlineStr">
        <is>
          <t>坂本 隼斗</t>
        </is>
      </c>
      <c r="F13" s="11" t="n">
        <v>24</v>
      </c>
      <c r="G13" s="11" t="inlineStr">
        <is>
          <t>男</t>
        </is>
      </c>
      <c r="H13" s="11" t="inlineStr">
        <is>
          <t>日本</t>
        </is>
      </c>
      <c r="I13" s="11" t="n"/>
      <c r="J13" s="11" t="n"/>
      <c r="K13" s="11" t="inlineStr">
        <is>
          <t>確認中</t>
        </is>
      </c>
      <c r="L13" s="40" t="n"/>
      <c r="M13" s="11" t="inlineStr">
        <is>
          <t>未設定</t>
        </is>
      </c>
      <c r="N13" s="40" t="n"/>
      <c r="O13" s="11" t="inlineStr">
        <is>
          <t>選考中</t>
        </is>
      </c>
      <c r="P13" s="40" t="n"/>
    </row>
    <row r="14">
      <c r="A14" s="11" t="n">
        <v>12</v>
      </c>
      <c r="B14" s="11" t="inlineStr">
        <is>
          <t>バイトル</t>
        </is>
      </c>
      <c r="C14" s="11" t="inlineStr">
        <is>
          <t>CTS</t>
        </is>
      </c>
      <c r="D14" s="51" t="n">
        <v>46236</v>
      </c>
      <c r="E14" s="40" t="inlineStr">
        <is>
          <t>Hashini Navodya</t>
        </is>
      </c>
      <c r="F14" s="11" t="n">
        <v>21</v>
      </c>
      <c r="G14" s="11" t="inlineStr">
        <is>
          <t>女</t>
        </is>
      </c>
      <c r="H14" s="11" t="inlineStr">
        <is>
          <t>外国籍</t>
        </is>
      </c>
      <c r="I14" s="11" t="n"/>
      <c r="J14" s="11" t="n"/>
      <c r="K14" s="11" t="inlineStr">
        <is>
          <t>確認中</t>
        </is>
      </c>
      <c r="L14" s="40" t="n"/>
      <c r="M14" s="11" t="inlineStr">
        <is>
          <t>未設定</t>
        </is>
      </c>
      <c r="N14" s="40" t="n"/>
      <c r="O14" s="11" t="inlineStr">
        <is>
          <t>選考中</t>
        </is>
      </c>
      <c r="P14" s="40" t="n"/>
    </row>
    <row r="15">
      <c r="A15" s="11" t="n">
        <v>13</v>
      </c>
      <c r="B15" s="11" t="inlineStr">
        <is>
          <t>マイナビバイト</t>
        </is>
      </c>
      <c r="C15" s="11" t="inlineStr">
        <is>
          <t>CTS</t>
        </is>
      </c>
      <c r="D15" s="51" t="n">
        <v>46233</v>
      </c>
      <c r="E15" s="40" t="inlineStr">
        <is>
          <t>竹内 愛</t>
        </is>
      </c>
      <c r="F15" s="11" t="n">
        <v>33</v>
      </c>
      <c r="G15" s="11" t="inlineStr">
        <is>
          <t>女</t>
        </is>
      </c>
      <c r="H15" s="11" t="inlineStr">
        <is>
          <t>日本</t>
        </is>
      </c>
      <c r="I15" s="11" t="n"/>
      <c r="J15" s="11" t="n"/>
      <c r="K15" s="11" t="inlineStr">
        <is>
          <t>確認中</t>
        </is>
      </c>
      <c r="L15" s="40" t="n"/>
      <c r="M15" s="11" t="inlineStr">
        <is>
          <t>未設定</t>
        </is>
      </c>
      <c r="N15" s="40" t="n"/>
      <c r="O15" s="11" t="inlineStr">
        <is>
          <t>選考中</t>
        </is>
      </c>
      <c r="P15" s="40" t="n"/>
    </row>
    <row r="16">
      <c r="A16" s="11" t="n">
        <v>14</v>
      </c>
      <c r="B16" s="11" t="inlineStr">
        <is>
          <t>マイナビバイト</t>
        </is>
      </c>
      <c r="C16" s="11" t="inlineStr">
        <is>
          <t>CTS</t>
        </is>
      </c>
      <c r="D16" s="51" t="n">
        <v>46233</v>
      </c>
      <c r="E16" s="40" t="inlineStr">
        <is>
          <t>高砂 琴音</t>
        </is>
      </c>
      <c r="F16" s="11" t="n">
        <v>18</v>
      </c>
      <c r="G16" s="11" t="inlineStr">
        <is>
          <t>女</t>
        </is>
      </c>
      <c r="H16" s="11" t="inlineStr">
        <is>
          <t>日本</t>
        </is>
      </c>
      <c r="I16" s="11" t="inlineStr">
        <is>
          <t>未経験者</t>
        </is>
      </c>
      <c r="J16" s="11" t="inlineStr">
        <is>
          <t>学生</t>
        </is>
      </c>
      <c r="K16" s="11" t="inlineStr">
        <is>
          <t>確認中</t>
        </is>
      </c>
      <c r="L16" s="40" t="n"/>
      <c r="M16" s="11" t="inlineStr">
        <is>
          <t>未設定</t>
        </is>
      </c>
      <c r="N16" s="40" t="n"/>
      <c r="O16" s="11" t="inlineStr">
        <is>
          <t>選考中</t>
        </is>
      </c>
      <c r="P16" s="40" t="inlineStr">
        <is>
          <t>高校生（外航GATE経験者の可能性あり）</t>
        </is>
      </c>
    </row>
  </sheetData>
  <mergeCells count="1">
    <mergeCell ref="A1:P1"/>
  </mergeCells>
  <dataValidations count="11">
    <dataValidation sqref="B3:B502" showDropDown="0" showInputMessage="0" showErrorMessage="0" allowBlank="1" type="list">
      <formula1>=マスタ!$A$3:$A$8</formula1>
    </dataValidation>
    <dataValidation sqref="C3:C502" showDropDown="0" showInputMessage="0" showErrorMessage="0" allowBlank="1" type="list">
      <formula1>=マスタ!$B$3:$B$4</formula1>
    </dataValidation>
    <dataValidation sqref="G3:G502" showDropDown="0" showInputMessage="0" showErrorMessage="0" allowBlank="1" type="list">
      <formula1>=マスタ!$C$3:$C$4</formula1>
    </dataValidation>
    <dataValidation sqref="H3:H502" showDropDown="0" showInputMessage="0" showErrorMessage="0" allowBlank="1" type="list">
      <formula1>=マスタ!$D$3:$D$4</formula1>
    </dataValidation>
    <dataValidation sqref="I3:I502" showDropDown="0" showInputMessage="0" showErrorMessage="0" allowBlank="1" type="list">
      <formula1>=マスタ!$E$3:$E$4</formula1>
    </dataValidation>
    <dataValidation sqref="J3:J502" showDropDown="0" showInputMessage="0" showErrorMessage="0" allowBlank="1" type="list">
      <formula1>=マスタ!$F$3:$F$7</formula1>
    </dataValidation>
    <dataValidation sqref="K3:K502" showDropDown="0" showInputMessage="0" showErrorMessage="0" allowBlank="1" type="list">
      <formula1>=マスタ!$G$3:$G$9</formula1>
    </dataValidation>
    <dataValidation sqref="L3:L502" showDropDown="0" showInputMessage="0" showErrorMessage="0" allowBlank="1" type="list">
      <formula1>=マスタ!$H$3:$H$9</formula1>
    </dataValidation>
    <dataValidation sqref="M3:M502" showDropDown="0" showInputMessage="0" showErrorMessage="0" allowBlank="1" type="list">
      <formula1>=マスタ!$I$3:$I$6</formula1>
    </dataValidation>
    <dataValidation sqref="N3:N502" showDropDown="0" showInputMessage="0" showErrorMessage="0" allowBlank="1" type="list">
      <formula1>=マスタ!$J$3:$J$17</formula1>
    </dataValidation>
    <dataValidation sqref="O3:O502" showDropDown="0" showInputMessage="0" showErrorMessage="0" allowBlank="1" type="list">
      <formula1>=マスタ!$K$3:$K$9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6" customWidth="1" min="10" max="10"/>
    <col width="12" customWidth="1" min="11" max="11"/>
  </cols>
  <sheetData>
    <row r="1">
      <c r="A1" s="52" t="inlineStr">
        <is>
          <t>マスタ（プルダウン用リスト）</t>
        </is>
      </c>
    </row>
    <row r="2">
      <c r="A2" s="53" t="inlineStr">
        <is>
          <t>媒体</t>
        </is>
      </c>
      <c r="B2" s="53" t="inlineStr">
        <is>
          <t>基地</t>
        </is>
      </c>
      <c r="C2" s="53" t="inlineStr">
        <is>
          <t>性別</t>
        </is>
      </c>
      <c r="D2" s="53" t="inlineStr">
        <is>
          <t>国籍</t>
        </is>
      </c>
      <c r="E2" s="53" t="inlineStr">
        <is>
          <t>経験</t>
        </is>
      </c>
      <c r="F2" s="53" t="inlineStr">
        <is>
          <t>属性</t>
        </is>
      </c>
      <c r="G2" s="53" t="inlineStr">
        <is>
          <t>書類選考</t>
        </is>
      </c>
      <c r="H2" s="53" t="inlineStr">
        <is>
          <t>書類NG理由</t>
        </is>
      </c>
      <c r="I2" s="53" t="inlineStr">
        <is>
          <t>面接</t>
        </is>
      </c>
      <c r="J2" s="53" t="inlineStr">
        <is>
          <t>面接NG理由</t>
        </is>
      </c>
      <c r="K2" s="53" t="inlineStr">
        <is>
          <t>採用</t>
        </is>
      </c>
    </row>
    <row r="3">
      <c r="A3" s="40" t="inlineStr">
        <is>
          <t>バイトル</t>
        </is>
      </c>
      <c r="B3" s="40" t="inlineStr">
        <is>
          <t>NRT</t>
        </is>
      </c>
      <c r="C3" s="40" t="inlineStr">
        <is>
          <t>男</t>
        </is>
      </c>
      <c r="D3" s="40" t="inlineStr">
        <is>
          <t>日本</t>
        </is>
      </c>
      <c r="E3" s="40" t="inlineStr">
        <is>
          <t>経験者</t>
        </is>
      </c>
      <c r="F3" s="40" t="inlineStr">
        <is>
          <t>学生</t>
        </is>
      </c>
      <c r="G3" s="40" t="inlineStr">
        <is>
          <t>未対応</t>
        </is>
      </c>
      <c r="H3" s="40" t="inlineStr">
        <is>
          <t>年齢</t>
        </is>
      </c>
      <c r="I3" s="40" t="inlineStr">
        <is>
          <t>未設定</t>
        </is>
      </c>
      <c r="J3" s="40" t="inlineStr">
        <is>
          <t>勤務条件不一致</t>
        </is>
      </c>
      <c r="K3" s="40" t="inlineStr">
        <is>
          <t>選考中</t>
        </is>
      </c>
    </row>
    <row r="4">
      <c r="A4" s="40" t="inlineStr">
        <is>
          <t>マイナビバイト</t>
        </is>
      </c>
      <c r="B4" s="40" t="inlineStr">
        <is>
          <t>CTS</t>
        </is>
      </c>
      <c r="C4" s="40" t="inlineStr">
        <is>
          <t>女</t>
        </is>
      </c>
      <c r="D4" s="40" t="inlineStr">
        <is>
          <t>外国籍</t>
        </is>
      </c>
      <c r="E4" s="40" t="inlineStr">
        <is>
          <t>未経験者</t>
        </is>
      </c>
      <c r="F4" s="40" t="inlineStr">
        <is>
          <t>フリーター</t>
        </is>
      </c>
      <c r="G4" s="40" t="inlineStr">
        <is>
          <t>確認中</t>
        </is>
      </c>
      <c r="H4" s="40" t="inlineStr">
        <is>
          <t>通勤距離</t>
        </is>
      </c>
      <c r="I4" s="40" t="inlineStr">
        <is>
          <t>面接調整中</t>
        </is>
      </c>
      <c r="J4" s="40" t="inlineStr">
        <is>
          <t>シフト条件不一致</t>
        </is>
      </c>
      <c r="K4" s="40" t="inlineStr">
        <is>
          <t>採用</t>
        </is>
      </c>
    </row>
    <row r="5">
      <c r="A5" s="40" t="inlineStr">
        <is>
          <t>ちゃんと</t>
        </is>
      </c>
      <c r="F5" s="40" t="inlineStr">
        <is>
          <t>社会人</t>
        </is>
      </c>
      <c r="G5" s="40" t="inlineStr">
        <is>
          <t>通過</t>
        </is>
      </c>
      <c r="H5" s="40" t="inlineStr">
        <is>
          <t>国籍</t>
        </is>
      </c>
      <c r="I5" s="40" t="inlineStr">
        <is>
          <t>面接日確定</t>
        </is>
      </c>
      <c r="J5" s="40" t="inlineStr">
        <is>
          <t>経験不足</t>
        </is>
      </c>
      <c r="K5" s="40" t="inlineStr">
        <is>
          <t>不採用</t>
        </is>
      </c>
    </row>
    <row r="6">
      <c r="A6" s="40" t="inlineStr">
        <is>
          <t>社員紹介</t>
        </is>
      </c>
      <c r="F6" s="40" t="inlineStr">
        <is>
          <t>主婦・主夫</t>
        </is>
      </c>
      <c r="G6" s="40" t="inlineStr">
        <is>
          <t>保留</t>
        </is>
      </c>
      <c r="H6" s="40" t="inlineStr">
        <is>
          <t>日本語力</t>
        </is>
      </c>
      <c r="I6" s="40" t="inlineStr">
        <is>
          <t>面接実施済み</t>
        </is>
      </c>
      <c r="J6" s="40" t="inlineStr">
        <is>
          <t>接客適性</t>
        </is>
      </c>
      <c r="K6" s="40" t="inlineStr">
        <is>
          <t>採用辞退</t>
        </is>
      </c>
    </row>
    <row r="7">
      <c r="A7" s="40" t="inlineStr">
        <is>
          <t>HP</t>
        </is>
      </c>
      <c r="F7" s="40" t="inlineStr">
        <is>
          <t>その他</t>
        </is>
      </c>
      <c r="G7" s="40" t="inlineStr">
        <is>
          <t>不通過</t>
        </is>
      </c>
      <c r="H7" s="40" t="inlineStr">
        <is>
          <t>英語力</t>
        </is>
      </c>
      <c r="J7" s="40" t="inlineStr">
        <is>
          <t>コミュニケーション</t>
        </is>
      </c>
      <c r="K7" s="40" t="inlineStr">
        <is>
          <t>入社予定</t>
        </is>
      </c>
    </row>
    <row r="8">
      <c r="A8" s="40" t="inlineStr">
        <is>
          <t>その他</t>
        </is>
      </c>
      <c r="G8" s="40" t="inlineStr">
        <is>
          <t>辞退</t>
        </is>
      </c>
      <c r="H8" s="40" t="inlineStr">
        <is>
          <t>勤務時間不一致</t>
        </is>
      </c>
      <c r="J8" s="40" t="inlineStr">
        <is>
          <t>日本語力</t>
        </is>
      </c>
      <c r="K8" s="40" t="inlineStr">
        <is>
          <t>入社辞退</t>
        </is>
      </c>
    </row>
    <row r="9">
      <c r="G9" s="40" t="inlineStr">
        <is>
          <t>連絡不通</t>
        </is>
      </c>
      <c r="H9" s="40" t="inlineStr">
        <is>
          <t>その他</t>
        </is>
      </c>
      <c r="J9" s="40" t="inlineStr">
        <is>
          <t>英語力</t>
        </is>
      </c>
      <c r="K9" s="40" t="inlineStr">
        <is>
          <t>保留</t>
        </is>
      </c>
    </row>
    <row r="10">
      <c r="J10" s="40" t="inlineStr">
        <is>
          <t>航空保安上の要件</t>
        </is>
      </c>
    </row>
    <row r="11">
      <c r="J11" s="40" t="inlineStr">
        <is>
          <t>通勤困難</t>
        </is>
      </c>
    </row>
    <row r="12">
      <c r="J12" s="40" t="inlineStr">
        <is>
          <t>給与条件不一致</t>
        </is>
      </c>
    </row>
    <row r="13">
      <c r="J13" s="40" t="inlineStr">
        <is>
          <t>入社可能時期が合わない</t>
        </is>
      </c>
    </row>
    <row r="14">
      <c r="J14" s="40" t="inlineStr">
        <is>
          <t>他社内定</t>
        </is>
      </c>
    </row>
    <row r="15">
      <c r="J15" s="40" t="inlineStr">
        <is>
          <t>本人辞退</t>
        </is>
      </c>
    </row>
    <row r="16">
      <c r="J16" s="40" t="inlineStr">
        <is>
          <t>総合判断</t>
        </is>
      </c>
    </row>
    <row r="17">
      <c r="J17" s="40" t="inlineStr">
        <is>
          <t>その他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2026-08-05T00:23:50Z</dcterms:created>
  <dcterms:modified xsi:type="dcterms:W3CDTF">2026-08-05T00:23:50Z</dcterms:modified>
</cp:coreProperties>
</file>