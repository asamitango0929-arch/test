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4一枚" sheetId="1" state="visible" r:id="rId1"/>
    <sheet name="サマリー" sheetId="2" state="visible" r:id="rId2"/>
    <sheet name="月次推移" sheetId="3" state="visible" r:id="rId3"/>
    <sheet name="グラフ" sheetId="4" state="visible" r:id="rId4"/>
  </sheets>
  <definedNames>
    <definedName name="_xlnm.Print_Area" localSheetId="0">'A4一枚'!$A$1:$P$38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&quot;▲&quot;#,##0;0"/>
    <numFmt numFmtId="165" formatCode="&quot;+&quot;#,##0;[Red]&quot;▲&quot;#,##0;0"/>
    <numFmt numFmtId="166" formatCode="0.0%"/>
    <numFmt numFmtId="167" formatCode="#,##0.0&quot;名&quot;"/>
    <numFmt numFmtId="168" formatCode="#,##0&quot;名 ／ 年&quot;"/>
  </numFmts>
  <fonts count="35">
    <font>
      <name val="Calibri"/>
      <family val="2"/>
      <color theme="1"/>
      <sz val="11"/>
      <scheme val="minor"/>
    </font>
    <font>
      <name val="游ゴシック"/>
      <b val="1"/>
      <color rgb="001F3864"/>
      <sz val="15"/>
    </font>
    <font>
      <name val="游ゴシック"/>
      <color rgb="00808080"/>
      <sz val="9"/>
    </font>
    <font>
      <name val="游ゴシック"/>
      <b val="1"/>
      <color rgb="00FFFFFF"/>
      <sz val="10"/>
    </font>
    <font>
      <name val="游ゴシック"/>
      <b val="1"/>
      <color rgb="001F3864"/>
      <sz val="10"/>
    </font>
    <font>
      <name val="游ゴシック"/>
      <color rgb="00000000"/>
      <sz val="10"/>
    </font>
    <font>
      <name val="游ゴシック"/>
      <color rgb="000000FF"/>
      <sz val="10"/>
    </font>
    <font>
      <name val="游ゴシック"/>
      <color rgb="00808080"/>
      <sz val="10"/>
    </font>
    <font>
      <name val="游ゴシック"/>
      <b val="1"/>
      <color rgb="00000000"/>
      <sz val="10"/>
    </font>
    <font>
      <name val="游ゴシック"/>
      <b val="1"/>
      <color rgb="000000FF"/>
      <sz val="10"/>
    </font>
    <font>
      <name val="游ゴシック"/>
      <b val="1"/>
      <color rgb="00808080"/>
      <sz val="10"/>
    </font>
    <font>
      <name val="游ゴシック"/>
      <b val="1"/>
      <color rgb="001F3864"/>
      <sz val="9"/>
    </font>
    <font>
      <name val="游ゴシック"/>
      <color rgb="00404040"/>
      <sz val="9"/>
    </font>
    <font>
      <name val="游ゴシック"/>
      <b val="1"/>
      <color rgb="001F3864"/>
      <sz val="17"/>
    </font>
    <font>
      <name val="游ゴシック"/>
      <b val="1"/>
      <color rgb="00FFFFFF"/>
      <sz val="9.5"/>
    </font>
    <font>
      <name val="游ゴシック"/>
      <b val="1"/>
      <color rgb="00C00000"/>
      <sz val="22"/>
    </font>
    <font>
      <name val="游ゴシック"/>
      <color rgb="00808080"/>
      <sz val="8.5"/>
    </font>
    <font>
      <name val="游ゴシック"/>
      <b val="1"/>
      <color rgb="001F3864"/>
      <sz val="22"/>
    </font>
    <font>
      <name val="游ゴシック"/>
      <b val="1"/>
      <color rgb="001F3864"/>
      <sz val="12"/>
    </font>
    <font>
      <name val="游ゴシック"/>
      <b val="1"/>
      <color rgb="001F1F1F"/>
      <sz val="11"/>
    </font>
    <font>
      <name val="游ゴシック"/>
      <color rgb="00404040"/>
      <sz val="9.5"/>
    </font>
    <font>
      <name val="游ゴシック"/>
      <b val="1"/>
      <color rgb="00000000"/>
      <sz val="11"/>
    </font>
    <font>
      <name val="游ゴシック"/>
      <b val="1"/>
      <color rgb="001F3864"/>
      <sz val="10.5"/>
    </font>
    <font>
      <name val="游ゴシック"/>
      <color rgb="00000000"/>
      <sz val="9.5"/>
    </font>
    <font>
      <name val="游ゴシック"/>
      <b val="1"/>
      <color rgb="00000000"/>
      <sz val="9.5"/>
    </font>
    <font>
      <name val="游ゴシック"/>
      <b val="1"/>
      <color rgb="001F3864"/>
      <sz val="14"/>
    </font>
    <font>
      <name val="游ゴシック"/>
      <b val="1"/>
      <color rgb="00FFFFFF"/>
      <sz val="8.5"/>
    </font>
    <font>
      <name val="游ゴシック"/>
      <b val="1"/>
      <color rgb="00C00000"/>
      <sz val="18"/>
    </font>
    <font>
      <name val="游ゴシック"/>
      <color rgb="00808080"/>
      <sz val="7.5"/>
    </font>
    <font>
      <name val="游ゴシック"/>
      <b val="1"/>
      <color rgb="001F3864"/>
      <sz val="18"/>
    </font>
    <font>
      <name val="游ゴシック"/>
      <b val="1"/>
      <color rgb="00FFFFFF"/>
      <sz val="9"/>
    </font>
    <font>
      <name val="游ゴシック"/>
      <color rgb="00000000"/>
      <sz val="9"/>
    </font>
    <font>
      <name val="游ゴシック"/>
      <b val="1"/>
      <color rgb="00000000"/>
      <sz val="9"/>
    </font>
    <font>
      <name val="游ゴシック"/>
      <color rgb="001F1F1F"/>
      <sz val="9"/>
    </font>
    <font>
      <name val="游ゴシック"/>
      <b val="1"/>
      <color rgb="00C00000"/>
      <sz val="13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597"/>
        <bgColor rgb="002F5597"/>
      </patternFill>
    </fill>
    <fill>
      <patternFill patternType="solid">
        <fgColor rgb="00D9E2F3"/>
        <bgColor rgb="00D9E2F3"/>
      </patternFill>
    </fill>
    <fill>
      <patternFill patternType="solid">
        <fgColor rgb="00F2F5FA"/>
        <bgColor rgb="00F2F5FA"/>
      </patternFill>
    </fill>
    <fill>
      <patternFill patternType="solid">
        <fgColor rgb="00E7EDF7"/>
        <bgColor rgb="00E7EDF7"/>
      </patternFill>
    </fill>
    <fill>
      <patternFill patternType="solid">
        <fgColor rgb="00C00000"/>
        <bgColor rgb="00C00000"/>
      </patternFill>
    </fill>
  </fills>
  <borders count="26">
    <border>
      <left/>
      <right/>
      <top/>
      <bottom/>
      <diagonal/>
    </border>
    <border>
      <bottom style="medium">
        <color rgb="001F3864"/>
      </bottom>
    </border>
    <border>
      <left style="thin">
        <color rgb="00B4C6E7"/>
      </left>
      <right style="thin">
        <color rgb="00B4C6E7"/>
      </right>
      <top style="medium">
        <color rgb="001F3864"/>
      </top>
      <bottom style="medium">
        <color rgb="001F3864"/>
      </bottom>
    </border>
    <border>
      <left style="medium">
        <color rgb="001F3864"/>
      </left>
      <top style="thin">
        <color rgb="00B4C6E7"/>
      </top>
      <bottom style="thin">
        <color rgb="00B4C6E7"/>
      </bottom>
    </border>
    <border>
      <top style="thin">
        <color rgb="00B4C6E7"/>
      </top>
      <bottom style="thin">
        <color rgb="00B4C6E7"/>
      </bottom>
    </border>
    <border>
      <right style="medium">
        <color rgb="001F3864"/>
      </right>
      <top style="thin">
        <color rgb="00B4C6E7"/>
      </top>
      <bottom style="thin">
        <color rgb="00B4C6E7"/>
      </bottom>
    </border>
    <border>
      <left style="medium">
        <color rgb="001F3864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medium">
        <color rgb="001F3864"/>
      </right>
      <top style="thin">
        <color rgb="00B4C6E7"/>
      </top>
      <bottom style="thin">
        <color rgb="00B4C6E7"/>
      </bottom>
    </border>
    <border>
      <left style="medium">
        <color rgb="001F3864"/>
      </left>
      <right style="thin">
        <color rgb="00B4C6E7"/>
      </right>
      <top style="thin">
        <color rgb="00B4C6E7"/>
      </top>
      <bottom style="medium">
        <color rgb="001F3864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medium">
        <color rgb="001F3864"/>
      </bottom>
    </border>
    <border>
      <left style="thin">
        <color rgb="00B4C6E7"/>
      </left>
      <right style="medium">
        <color rgb="001F3864"/>
      </right>
      <top style="thin">
        <color rgb="00B4C6E7"/>
      </top>
      <bottom style="medium">
        <color rgb="001F3864"/>
      </bottom>
    </border>
    <border>
      <left style="medium">
        <color rgb="001F3864"/>
      </left>
      <top style="medium">
        <color rgb="001F3864"/>
      </top>
    </border>
    <border>
      <right style="medium">
        <color rgb="001F3864"/>
      </right>
      <top style="medium">
        <color rgb="001F3864"/>
      </top>
    </border>
    <border>
      <left style="medium">
        <color rgb="001F3864"/>
      </left>
    </border>
    <border>
      <right style="medium">
        <color rgb="001F3864"/>
      </right>
    </border>
    <border>
      <left style="medium">
        <color rgb="001F3864"/>
      </left>
      <bottom style="medium">
        <color rgb="001F3864"/>
      </bottom>
    </border>
    <border>
      <right style="medium">
        <color rgb="001F3864"/>
      </right>
      <bottom style="medium">
        <color rgb="001F3864"/>
      </bottom>
    </border>
    <border>
      <left style="thin">
        <color rgb="00B4C6E7"/>
      </left>
      <right style="thin">
        <color rgb="00B4C6E7"/>
      </right>
      <top style="medium">
        <color rgb="001F3864"/>
      </top>
      <bottom style="thin">
        <color rgb="00B4C6E7"/>
      </bottom>
    </border>
    <border>
      <top style="medium">
        <color rgb="001F3864"/>
      </top>
    </border>
    <border/>
    <border>
      <left style="thin">
        <color rgb="00B4C6E7"/>
      </left>
      <right style="thin">
        <color rgb="00B4C6E7"/>
      </right>
      <top style="medium">
        <color rgb="001F3864"/>
      </top>
    </border>
    <border>
      <left style="thin">
        <color rgb="00B4C6E7"/>
      </left>
      <right style="thin">
        <color rgb="00B4C6E7"/>
      </right>
      <bottom style="medium">
        <color rgb="001F3864"/>
      </bottom>
    </border>
    <border>
      <left style="medium">
        <color rgb="001F3864"/>
      </lef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right style="medium">
        <color rgb="001F3864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6" fillId="7" borderId="12" applyAlignment="1" pivotButton="0" quotePrefix="0" xfId="0">
      <alignment horizontal="center" vertical="center"/>
    </xf>
    <xf numFmtId="0" fontId="0" fillId="7" borderId="13" pivotButton="0" quotePrefix="0" xfId="0"/>
    <xf numFmtId="0" fontId="0" fillId="7" borderId="19" pivotButton="0" quotePrefix="0" xfId="0"/>
    <xf numFmtId="0" fontId="26" fillId="2" borderId="12" applyAlignment="1" pivotButton="0" quotePrefix="0" xfId="0">
      <alignment horizontal="center" vertical="center"/>
    </xf>
    <xf numFmtId="0" fontId="0" fillId="2" borderId="19" pivotButton="0" quotePrefix="0" xfId="0"/>
    <xf numFmtId="0" fontId="0" fillId="2" borderId="13" pivotButton="0" quotePrefix="0" xfId="0"/>
    <xf numFmtId="164" fontId="27" fillId="5" borderId="14" applyAlignment="1" pivotButton="0" quotePrefix="0" xfId="0">
      <alignment horizontal="center" vertical="center"/>
    </xf>
    <xf numFmtId="0" fontId="0" fillId="5" borderId="15" pivotButton="0" quotePrefix="0" xfId="0"/>
    <xf numFmtId="166" fontId="27" fillId="5" borderId="14" applyAlignment="1" pivotButton="0" quotePrefix="0" xfId="0">
      <alignment horizontal="center" vertical="center"/>
    </xf>
    <xf numFmtId="0" fontId="0" fillId="5" borderId="20" pivotButton="0" quotePrefix="0" xfId="0"/>
    <xf numFmtId="167" fontId="27" fillId="5" borderId="14" applyAlignment="1" pivotButton="0" quotePrefix="0" xfId="0">
      <alignment horizontal="center" vertical="center"/>
    </xf>
    <xf numFmtId="165" fontId="29" fillId="5" borderId="14" applyAlignment="1" pivotButton="0" quotePrefix="0" xfId="0">
      <alignment horizontal="center" vertical="center"/>
    </xf>
    <xf numFmtId="165" fontId="27" fillId="5" borderId="14" applyAlignment="1" pivotButton="0" quotePrefix="0" xfId="0">
      <alignment horizontal="center" vertical="center"/>
    </xf>
    <xf numFmtId="0" fontId="28" fillId="5" borderId="16" applyAlignment="1" pivotButton="0" quotePrefix="0" xfId="0">
      <alignment horizontal="center" vertical="center"/>
    </xf>
    <xf numFmtId="0" fontId="0" fillId="5" borderId="17" pivotButton="0" quotePrefix="0" xfId="0"/>
    <xf numFmtId="0" fontId="0" fillId="5" borderId="1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30" fillId="2" borderId="21" applyAlignment="1" pivotButton="0" quotePrefix="0" xfId="0">
      <alignment horizontal="center" vertical="center"/>
    </xf>
    <xf numFmtId="0" fontId="30" fillId="3" borderId="22" applyAlignment="1" pivotButton="0" quotePrefix="0" xfId="0">
      <alignment horizontal="center" vertical="center"/>
    </xf>
    <xf numFmtId="0" fontId="31" fillId="5" borderId="6" applyAlignment="1" pivotButton="0" quotePrefix="0" xfId="0">
      <alignment horizontal="left" vertical="center" indent="1"/>
    </xf>
    <xf numFmtId="164" fontId="31" fillId="0" borderId="7" applyAlignment="1" pivotButton="0" quotePrefix="0" xfId="0">
      <alignment horizontal="center" vertical="center"/>
    </xf>
    <xf numFmtId="0" fontId="2" fillId="6" borderId="8" applyAlignment="1" pivotButton="0" quotePrefix="0" xfId="0">
      <alignment horizontal="center" vertical="center"/>
    </xf>
    <xf numFmtId="164" fontId="11" fillId="6" borderId="8" applyAlignment="1" pivotButton="0" quotePrefix="0" xfId="0">
      <alignment horizontal="center" vertical="center"/>
    </xf>
    <xf numFmtId="0" fontId="32" fillId="6" borderId="6" applyAlignment="1" pivotButton="0" quotePrefix="0" xfId="0">
      <alignment horizontal="left" vertical="center" indent="1"/>
    </xf>
    <xf numFmtId="164" fontId="32" fillId="6" borderId="7" applyAlignment="1" pivotButton="0" quotePrefix="0" xfId="0">
      <alignment horizontal="center" vertical="center"/>
    </xf>
    <xf numFmtId="0" fontId="32" fillId="6" borderId="9" applyAlignment="1" pivotButton="0" quotePrefix="0" xfId="0">
      <alignment horizontal="left" vertical="center" indent="1"/>
    </xf>
    <xf numFmtId="165" fontId="32" fillId="6" borderId="10" applyAlignment="1" pivotButton="0" quotePrefix="0" xfId="0">
      <alignment horizontal="center" vertical="center"/>
    </xf>
    <xf numFmtId="0" fontId="2" fillId="6" borderId="11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indent="1"/>
    </xf>
    <xf numFmtId="0" fontId="4" fillId="6" borderId="23" applyAlignment="1" pivotButton="0" quotePrefix="0" xfId="0">
      <alignment horizontal="left" vertical="center" indent="1"/>
    </xf>
    <xf numFmtId="0" fontId="0" fillId="6" borderId="24" pivotButton="0" quotePrefix="0" xfId="0"/>
    <xf numFmtId="168" fontId="34" fillId="6" borderId="24" applyAlignment="1" pivotButton="0" quotePrefix="0" xfId="0">
      <alignment horizontal="center" vertical="center"/>
    </xf>
    <xf numFmtId="0" fontId="0" fillId="6" borderId="25" pivotButton="0" quotePrefix="0" xfId="0"/>
    <xf numFmtId="0" fontId="28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4" fillId="7" borderId="12" applyAlignment="1" pivotButton="0" quotePrefix="0" xfId="0">
      <alignment horizontal="center" vertical="center"/>
    </xf>
    <xf numFmtId="0" fontId="0" fillId="0" borderId="13" pivotButton="0" quotePrefix="0" xfId="0"/>
    <xf numFmtId="164" fontId="15" fillId="5" borderId="14" applyAlignment="1" pivotButton="0" quotePrefix="0" xfId="0">
      <alignment horizontal="center" vertical="center"/>
    </xf>
    <xf numFmtId="0" fontId="0" fillId="0" borderId="15" pivotButton="0" quotePrefix="0" xfId="0"/>
    <xf numFmtId="166" fontId="15" fillId="5" borderId="14" applyAlignment="1" pivotButton="0" quotePrefix="0" xfId="0">
      <alignment horizontal="center" vertical="center"/>
    </xf>
    <xf numFmtId="167" fontId="15" fillId="5" borderId="14" applyAlignment="1" pivotButton="0" quotePrefix="0" xfId="0">
      <alignment horizontal="center" vertical="center"/>
    </xf>
    <xf numFmtId="0" fontId="16" fillId="5" borderId="16" applyAlignment="1" pivotButton="0" quotePrefix="0" xfId="0">
      <alignment horizontal="center" vertical="center"/>
    </xf>
    <xf numFmtId="0" fontId="0" fillId="0" borderId="17" pivotButton="0" quotePrefix="0" xfId="0"/>
    <xf numFmtId="0" fontId="14" fillId="2" borderId="12" applyAlignment="1" pivotButton="0" quotePrefix="0" xfId="0">
      <alignment horizontal="center" vertical="center"/>
    </xf>
    <xf numFmtId="164" fontId="17" fillId="5" borderId="14" applyAlignment="1" pivotButton="0" quotePrefix="0" xfId="0">
      <alignment horizontal="center" vertical="center"/>
    </xf>
    <xf numFmtId="165" fontId="17" fillId="5" borderId="14" applyAlignment="1" pivotButton="0" quotePrefix="0" xfId="0">
      <alignment horizontal="center" vertical="center"/>
    </xf>
    <xf numFmtId="165" fontId="15" fillId="5" borderId="14" applyAlignment="1" pivotButton="0" quotePrefix="0" xfId="0">
      <alignment horizontal="center" vertical="center"/>
    </xf>
    <xf numFmtId="0" fontId="18" fillId="4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top" wrapText="1" indent="1"/>
    </xf>
    <xf numFmtId="0" fontId="5" fillId="5" borderId="6" applyAlignment="1" pivotButton="0" quotePrefix="0" xfId="0">
      <alignment horizontal="left" vertical="center" indent="1"/>
    </xf>
    <xf numFmtId="0" fontId="0" fillId="5" borderId="7" pivotButton="0" quotePrefix="0" xfId="0"/>
    <xf numFmtId="164" fontId="21" fillId="5" borderId="7" applyAlignment="1" pivotButton="0" quotePrefix="0" xfId="0">
      <alignment horizontal="center" vertical="center"/>
    </xf>
    <xf numFmtId="0" fontId="2" fillId="5" borderId="7" applyAlignment="1" pivotButton="0" quotePrefix="0" xfId="0">
      <alignment horizontal="left" vertical="center" indent="1"/>
    </xf>
    <xf numFmtId="0" fontId="0" fillId="5" borderId="8" pivotButton="0" quotePrefix="0" xfId="0"/>
    <xf numFmtId="0" fontId="8" fillId="6" borderId="9" applyAlignment="1" pivotButton="0" quotePrefix="0" xfId="0">
      <alignment horizontal="left" vertical="center" indent="1"/>
    </xf>
    <xf numFmtId="0" fontId="0" fillId="6" borderId="10" pivotButton="0" quotePrefix="0" xfId="0"/>
    <xf numFmtId="164" fontId="18" fillId="6" borderId="10" applyAlignment="1" pivotButton="0" quotePrefix="0" xfId="0">
      <alignment horizontal="center" vertical="center"/>
    </xf>
    <xf numFmtId="0" fontId="2" fillId="6" borderId="10" applyAlignment="1" pivotButton="0" quotePrefix="0" xfId="0">
      <alignment horizontal="left" vertical="center" indent="1"/>
    </xf>
    <xf numFmtId="0" fontId="0" fillId="6" borderId="11" pivotButton="0" quotePrefix="0" xfId="0"/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 indent="1"/>
    </xf>
    <xf numFmtId="0" fontId="0" fillId="4" borderId="4" pivotButton="0" quotePrefix="0" xfId="0"/>
    <xf numFmtId="0" fontId="0" fillId="4" borderId="5" pivotButton="0" quotePrefix="0" xfId="0"/>
    <xf numFmtId="164" fontId="6" fillId="0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8" fillId="5" borderId="6" applyAlignment="1" pivotButton="0" quotePrefix="0" xfId="0">
      <alignment horizontal="left" vertical="center" indent="1"/>
    </xf>
    <xf numFmtId="164" fontId="9" fillId="0" borderId="7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0" fontId="10" fillId="6" borderId="8" applyAlignment="1" pivotButton="0" quotePrefix="0" xfId="0">
      <alignment horizontal="center" vertical="center"/>
    </xf>
    <xf numFmtId="165" fontId="5" fillId="0" borderId="7" applyAlignment="1" pivotButton="0" quotePrefix="0" xfId="0">
      <alignment horizontal="center" vertical="center"/>
    </xf>
    <xf numFmtId="164" fontId="4" fillId="6" borderId="8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 indent="1"/>
    </xf>
    <xf numFmtId="164" fontId="8" fillId="6" borderId="7" applyAlignment="1" pivotButton="0" quotePrefix="0" xfId="0">
      <alignment horizontal="center" vertical="center"/>
    </xf>
    <xf numFmtId="0" fontId="5" fillId="5" borderId="9" applyAlignment="1" pivotButton="0" quotePrefix="0" xfId="0">
      <alignment horizontal="left" vertical="center" indent="1"/>
    </xf>
    <xf numFmtId="165" fontId="5" fillId="0" borderId="10" applyAlignment="1" pivotButton="0" quotePrefix="0" xfId="0">
      <alignment horizontal="center" vertical="center"/>
    </xf>
    <xf numFmtId="0" fontId="7" fillId="6" borderId="1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 indent="1"/>
    </xf>
    <xf numFmtId="0" fontId="14" fillId="3" borderId="18" applyAlignment="1" pivotButton="0" quotePrefix="0" xfId="0">
      <alignment horizontal="center" vertical="center"/>
    </xf>
    <xf numFmtId="0" fontId="23" fillId="5" borderId="6" applyAlignment="1" pivotButton="0" quotePrefix="0" xfId="0">
      <alignment horizontal="left" vertical="center" indent="1"/>
    </xf>
    <xf numFmtId="164" fontId="23" fillId="0" borderId="7" applyAlignment="1" pivotButton="0" quotePrefix="0" xfId="0">
      <alignment horizontal="center" vertical="center"/>
    </xf>
    <xf numFmtId="164" fontId="23" fillId="0" borderId="8" applyAlignment="1" pivotButton="0" quotePrefix="0" xfId="0">
      <alignment horizontal="center" vertical="center"/>
    </xf>
    <xf numFmtId="0" fontId="24" fillId="6" borderId="6" applyAlignment="1" pivotButton="0" quotePrefix="0" xfId="0">
      <alignment horizontal="left" vertical="center" indent="1"/>
    </xf>
    <xf numFmtId="164" fontId="24" fillId="6" borderId="7" applyAlignment="1" pivotButton="0" quotePrefix="0" xfId="0">
      <alignment horizontal="center" vertical="center"/>
    </xf>
    <xf numFmtId="164" fontId="24" fillId="6" borderId="8" applyAlignment="1" pivotButton="0" quotePrefix="0" xfId="0">
      <alignment horizontal="center" vertical="center"/>
    </xf>
    <xf numFmtId="0" fontId="24" fillId="6" borderId="9" applyAlignment="1" pivotButton="0" quotePrefix="0" xfId="0">
      <alignment horizontal="left" vertical="center" indent="1"/>
    </xf>
    <xf numFmtId="165" fontId="24" fillId="6" borderId="10" applyAlignment="1" pivotButton="0" quotePrefix="0" xfId="0">
      <alignment horizontal="center" vertical="center"/>
    </xf>
    <xf numFmtId="165" fontId="24" fillId="6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游ゴシック"/>
        <b val="1"/>
        <color rgb="00C00000"/>
        <sz val="9"/>
      </font>
      <fill>
        <patternFill patternType="solid">
          <fgColor rgb="00FCE0E0"/>
          <bgColor rgb="00FCE0E0"/>
        </patternFill>
      </fill>
    </dxf>
    <dxf>
      <font>
        <name val="游ゴシック"/>
        <b val="1"/>
        <color rgb="00C00000"/>
        <sz val="10"/>
      </font>
      <fill>
        <patternFill patternType="solid">
          <fgColor rgb="00FCE0E0"/>
          <bgColor rgb="00FC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'月次推移'!A7</f>
            </strRef>
          </tx>
          <spPr>
            <a:ln w="18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'月次推移'!$B$7:$M$7</f>
            </numRef>
          </val>
        </ser>
        <ser>
          <idx val="1"/>
          <order val="1"/>
          <tx>
            <strRef>
              <f>'月次推移'!A22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'月次推移'!$B$22:$M$22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必要数と稼働数の推移（名）</a:t>
            </a:r>
          </a:p>
        </rich>
      </tx>
    </title>
    <plotArea>
      <lineChart>
        <grouping val="standard"/>
        <ser>
          <idx val="0"/>
          <order val="0"/>
          <tx>
            <strRef>
              <f>'月次推移'!A7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'月次推移'!$B$7:$M$7</f>
            </numRef>
          </val>
        </ser>
        <ser>
          <idx val="1"/>
          <order val="1"/>
          <tx>
            <strRef>
              <f>'月次推移'!A22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'月次推移'!$B$5:$M$5</f>
            </numRef>
          </cat>
          <val>
            <numRef>
              <f>'月次推移'!$B$22:$M$22</f>
            </numRef>
          </val>
          <smooth val="0"/>
        </ser>
        <dLbls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人数（名）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入（増員）と出（減員）の推移（名）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'月次推移'!A14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'月次推移'!$B$5:$M$5</f>
            </numRef>
          </cat>
          <val>
            <numRef>
              <f>'月次推移'!$B$14:$M$14</f>
            </numRef>
          </val>
        </ser>
        <ser>
          <idx val="1"/>
          <order val="1"/>
          <tx>
            <strRef>
              <f>'月次推移'!A20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'月次推移'!$B$5:$M$5</f>
            </numRef>
          </cat>
          <val>
            <numRef>
              <f>'月次推移'!$B$20:$M$20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人数（名）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作成者</author>
  </authors>
  <commentList>
    <comment ref="E26" authorId="0" shapeId="0">
      <text>
        <t>前提：今後1年間の退職者数は直近12ヶ月の実績（19名）と同水準で推移すると仮定した試算値。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8856000" cy="140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</row>
      <rowOff>0</rowOff>
    </from>
    <ext cx="846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31</row>
      <rowOff>0</rowOff>
    </from>
    <ext cx="846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001F3864"/>
    <outlinePr summaryBelow="1" summaryRight="1"/>
    <pageSetUpPr fitToPage="1"/>
  </sheetPr>
  <dimension ref="B1:O38"/>
  <sheetViews>
    <sheetView showGridLines="0" tabSelected="1" workbookViewId="0">
      <selection activeCell="A1" sqref="A1"/>
    </sheetView>
  </sheetViews>
  <sheetFormatPr baseColWidth="8" defaultRowHeight="15"/>
  <cols>
    <col width="1.2" customWidth="1" min="1" max="1"/>
    <col width="28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  <col width="7.6" customWidth="1" min="13" max="13"/>
    <col width="7.6" customWidth="1" min="14" max="14"/>
    <col width="14" customWidth="1" min="15" max="15"/>
    <col width="1.2" customWidth="1" min="16" max="16"/>
  </cols>
  <sheetData>
    <row r="1" ht="24" customHeight="1">
      <c r="B1" s="1" t="inlineStr">
        <is>
          <t>HND MMチーム　人員体制の現状と採用課題</t>
        </is>
      </c>
    </row>
    <row r="2" ht="13" customHeight="1">
      <c r="B2" s="2" t="inlineStr">
        <is>
          <t>対象期間：2025年9月〜2026年8月（12ヶ月実績）　／　採用媒体の活用に関する稟議　添付資料　／　単位：名</t>
        </is>
      </c>
    </row>
    <row r="3" ht="4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15" customHeight="1">
      <c r="B4" s="4" t="inlineStr">
        <is>
          <t>年間退職者数</t>
        </is>
      </c>
      <c r="C4" s="5" t="n"/>
      <c r="D4" s="4" t="inlineStr">
        <is>
          <t>年間離職率</t>
        </is>
      </c>
      <c r="E4" s="6" t="n"/>
      <c r="F4" s="5" t="n"/>
      <c r="G4" s="4" t="inlineStr">
        <is>
          <t>月平均退職者数</t>
        </is>
      </c>
      <c r="H4" s="6" t="n"/>
      <c r="I4" s="5" t="n"/>
      <c r="J4" s="7" t="inlineStr">
        <is>
          <t>年間の純増減</t>
        </is>
      </c>
      <c r="K4" s="8" t="n"/>
      <c r="L4" s="9" t="n"/>
      <c r="M4" s="4" t="inlineStr">
        <is>
          <t>期末の過不足</t>
        </is>
      </c>
      <c r="N4" s="6" t="n"/>
      <c r="O4" s="5" t="n"/>
    </row>
    <row r="5" ht="23" customHeight="1">
      <c r="B5" s="10">
        <f>'月次推移'!N16+'月次推移'!N17</f>
        <v>19</v>
      </c>
      <c r="C5" s="11" t="n"/>
      <c r="D5" s="12">
        <f>('月次推移'!N16+'月次推移'!N17)/AVERAGE('月次推移'!B8:M8)</f>
        <v>0.7676767677</v>
      </c>
      <c r="E5" s="13" t="n"/>
      <c r="F5" s="11" t="n"/>
      <c r="G5" s="14">
        <f>('月次推移'!N16+'月次推移'!N17)/12</f>
        <v>1.5833333333</v>
      </c>
      <c r="H5" s="13" t="n"/>
      <c r="I5" s="11" t="n"/>
      <c r="J5" s="15">
        <f>'月次推移'!N14-'月次推移'!N20</f>
        <v>0</v>
      </c>
      <c r="K5" s="13" t="n"/>
      <c r="L5" s="11" t="n"/>
      <c r="M5" s="16">
        <f>'月次推移'!M23</f>
        <v>-5</v>
      </c>
      <c r="N5" s="13" t="n"/>
      <c r="O5" s="11" t="n"/>
    </row>
    <row r="6" ht="13" customHeight="1">
      <c r="B6" s="17" t="inlineStr">
        <is>
          <t>正社員17名・派遣2名</t>
        </is>
      </c>
      <c r="C6" s="18" t="n"/>
      <c r="D6" s="17" t="inlineStr">
        <is>
          <t>退職者数 ÷ 平均月初稼働数</t>
        </is>
      </c>
      <c r="E6" s="19" t="n"/>
      <c r="F6" s="18" t="n"/>
      <c r="G6" s="17" t="inlineStr">
        <is>
          <t>12ヶ月中11ヶ月で退職が発生</t>
        </is>
      </c>
      <c r="H6" s="19" t="n"/>
      <c r="I6" s="18" t="n"/>
      <c r="J6" s="17" t="inlineStr">
        <is>
          <t>採用23名 − 離脱23名</t>
        </is>
      </c>
      <c r="K6" s="19" t="n"/>
      <c r="L6" s="18" t="n"/>
      <c r="M6" s="17" t="inlineStr">
        <is>
          <t>2026年8月末　必要数25名</t>
        </is>
      </c>
      <c r="N6" s="19" t="n"/>
      <c r="O6" s="18" t="n"/>
    </row>
    <row r="7" ht="5" customHeight="1"/>
    <row r="8" ht="16" customHeight="1">
      <c r="B8" s="20" t="inlineStr">
        <is>
          <t>月次推移（2025年9月〜2026年8月）</t>
        </is>
      </c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4" customHeight="1">
      <c r="B9" s="22" t="inlineStr">
        <is>
          <t>項　目</t>
        </is>
      </c>
      <c r="C9" s="22" t="inlineStr">
        <is>
          <t>2025年</t>
        </is>
      </c>
      <c r="D9" s="22" t="n"/>
      <c r="E9" s="22" t="n"/>
      <c r="F9" s="22" t="n"/>
      <c r="G9" s="22" t="n"/>
      <c r="H9" s="22" t="inlineStr">
        <is>
          <t>2026年</t>
        </is>
      </c>
      <c r="I9" s="22" t="n"/>
      <c r="J9" s="22" t="n"/>
      <c r="K9" s="22" t="n"/>
      <c r="L9" s="22" t="n"/>
      <c r="M9" s="22" t="n"/>
      <c r="N9" s="22" t="n"/>
      <c r="O9" s="22" t="inlineStr">
        <is>
          <t>年間計</t>
        </is>
      </c>
    </row>
    <row r="10" ht="14" customHeight="1">
      <c r="B10" s="23" t="n"/>
      <c r="C10" s="23" t="inlineStr">
        <is>
          <t>9月</t>
        </is>
      </c>
      <c r="D10" s="23" t="inlineStr">
        <is>
          <t>10月</t>
        </is>
      </c>
      <c r="E10" s="23" t="inlineStr">
        <is>
          <t>11月</t>
        </is>
      </c>
      <c r="F10" s="23" t="inlineStr">
        <is>
          <t>12月</t>
        </is>
      </c>
      <c r="G10" s="23" t="inlineStr">
        <is>
          <t>1月</t>
        </is>
      </c>
      <c r="H10" s="23" t="inlineStr">
        <is>
          <t>2月</t>
        </is>
      </c>
      <c r="I10" s="23" t="inlineStr">
        <is>
          <t>3月</t>
        </is>
      </c>
      <c r="J10" s="23" t="inlineStr">
        <is>
          <t>4月</t>
        </is>
      </c>
      <c r="K10" s="23" t="inlineStr">
        <is>
          <t>5月</t>
        </is>
      </c>
      <c r="L10" s="23" t="inlineStr">
        <is>
          <t>6月</t>
        </is>
      </c>
      <c r="M10" s="23" t="inlineStr">
        <is>
          <t>7月</t>
        </is>
      </c>
      <c r="N10" s="23" t="inlineStr">
        <is>
          <t>8月</t>
        </is>
      </c>
      <c r="O10" s="23" t="n"/>
    </row>
    <row r="11" ht="14" customHeight="1">
      <c r="B11" s="24" t="inlineStr">
        <is>
          <t>必要数 (a)</t>
        </is>
      </c>
      <c r="C11" s="25">
        <f>'月次推移'!B7</f>
        <v>20</v>
      </c>
      <c r="D11" s="25">
        <f>'月次推移'!C7</f>
        <v>25</v>
      </c>
      <c r="E11" s="25">
        <f>'月次推移'!D7</f>
        <v>25</v>
      </c>
      <c r="F11" s="25">
        <f>'月次推移'!E7</f>
        <v>25</v>
      </c>
      <c r="G11" s="25">
        <f>'月次推移'!F7</f>
        <v>25</v>
      </c>
      <c r="H11" s="25">
        <f>'月次推移'!G7</f>
        <v>25</v>
      </c>
      <c r="I11" s="25">
        <f>'月次推移'!H7</f>
        <v>25</v>
      </c>
      <c r="J11" s="25">
        <f>'月次推移'!I7</f>
        <v>25</v>
      </c>
      <c r="K11" s="25">
        <f>'月次推移'!J7</f>
        <v>25</v>
      </c>
      <c r="L11" s="25">
        <f>'月次推移'!K7</f>
        <v>25</v>
      </c>
      <c r="M11" s="25">
        <f>'月次推移'!L7</f>
        <v>25</v>
      </c>
      <c r="N11" s="25">
        <f>'月次推移'!M7</f>
        <v>25</v>
      </c>
      <c r="O11" s="26" t="inlineStr">
        <is>
          <t>—</t>
        </is>
      </c>
    </row>
    <row r="12" ht="14" customHeight="1">
      <c r="B12" s="24" t="inlineStr">
        <is>
          <t>月初稼働数 (b)</t>
        </is>
      </c>
      <c r="C12" s="25">
        <f>'月次推移'!B8</f>
        <v>20</v>
      </c>
      <c r="D12" s="25">
        <f>'月次推移'!C8</f>
        <v>19</v>
      </c>
      <c r="E12" s="25">
        <f>'月次推移'!D8</f>
        <v>22</v>
      </c>
      <c r="F12" s="25">
        <f>'月次推移'!E8</f>
        <v>27</v>
      </c>
      <c r="G12" s="25">
        <f>'月次推移'!F8</f>
        <v>29</v>
      </c>
      <c r="H12" s="25">
        <f>'月次推移'!G8</f>
        <v>27</v>
      </c>
      <c r="I12" s="25">
        <f>'月次推移'!H8</f>
        <v>27</v>
      </c>
      <c r="J12" s="25">
        <f>'月次推移'!I8</f>
        <v>26</v>
      </c>
      <c r="K12" s="25">
        <f>'月次推移'!J8</f>
        <v>26</v>
      </c>
      <c r="L12" s="25">
        <f>'月次推移'!K8</f>
        <v>26</v>
      </c>
      <c r="M12" s="25">
        <f>'月次推移'!L8</f>
        <v>25</v>
      </c>
      <c r="N12" s="25">
        <f>'月次推移'!M8</f>
        <v>23</v>
      </c>
      <c r="O12" s="26" t="inlineStr">
        <is>
          <t>—</t>
        </is>
      </c>
    </row>
    <row r="13" ht="14" customHeight="1">
      <c r="B13" s="24" t="inlineStr">
        <is>
          <t>採用数（正社員）</t>
        </is>
      </c>
      <c r="C13" s="25">
        <f>'月次推移'!B11</f>
        <v>0</v>
      </c>
      <c r="D13" s="25">
        <f>'月次推移'!C11</f>
        <v>4</v>
      </c>
      <c r="E13" s="25">
        <f>'月次推移'!D11</f>
        <v>6</v>
      </c>
      <c r="F13" s="25">
        <f>'月次推移'!E11</f>
        <v>4</v>
      </c>
      <c r="G13" s="25">
        <f>'月次推移'!F11</f>
        <v>1</v>
      </c>
      <c r="H13" s="25">
        <f>'月次推移'!G11</f>
        <v>3</v>
      </c>
      <c r="I13" s="25">
        <f>'月次推移'!H11</f>
        <v>0</v>
      </c>
      <c r="J13" s="25">
        <f>'月次推移'!I11</f>
        <v>3</v>
      </c>
      <c r="K13" s="25">
        <f>'月次推移'!J11</f>
        <v>0</v>
      </c>
      <c r="L13" s="25">
        <f>'月次推移'!K11</f>
        <v>0</v>
      </c>
      <c r="M13" s="25">
        <f>'月次推移'!L11</f>
        <v>0</v>
      </c>
      <c r="N13" s="25">
        <f>'月次推移'!M11</f>
        <v>0</v>
      </c>
      <c r="O13" s="27">
        <f>'月次推移'!N11</f>
        <v>21</v>
      </c>
    </row>
    <row r="14" ht="14" customHeight="1">
      <c r="B14" s="24" t="inlineStr">
        <is>
          <t>採用数（派遣）</t>
        </is>
      </c>
      <c r="C14" s="25">
        <f>'月次推移'!B12</f>
        <v>1</v>
      </c>
      <c r="D14" s="25">
        <f>'月次推移'!C12</f>
        <v>0</v>
      </c>
      <c r="E14" s="25">
        <f>'月次推移'!D12</f>
        <v>1</v>
      </c>
      <c r="F14" s="25">
        <f>'月次推移'!E12</f>
        <v>0</v>
      </c>
      <c r="G14" s="25">
        <f>'月次推移'!F12</f>
        <v>0</v>
      </c>
      <c r="H14" s="25">
        <f>'月次推移'!G12</f>
        <v>0</v>
      </c>
      <c r="I14" s="25">
        <f>'月次推移'!H12</f>
        <v>0</v>
      </c>
      <c r="J14" s="25">
        <f>'月次推移'!I12</f>
        <v>0</v>
      </c>
      <c r="K14" s="25">
        <f>'月次推移'!J12</f>
        <v>0</v>
      </c>
      <c r="L14" s="25">
        <f>'月次推移'!K12</f>
        <v>0</v>
      </c>
      <c r="M14" s="25">
        <f>'月次推移'!L12</f>
        <v>0</v>
      </c>
      <c r="N14" s="25">
        <f>'月次推移'!M12</f>
        <v>0</v>
      </c>
      <c r="O14" s="27">
        <f>'月次推移'!N12</f>
        <v>2</v>
      </c>
    </row>
    <row r="15" ht="14" customHeight="1">
      <c r="B15" s="28" t="inlineStr">
        <is>
          <t>入 合計</t>
        </is>
      </c>
      <c r="C15" s="29">
        <f>'月次推移'!B14</f>
        <v>1</v>
      </c>
      <c r="D15" s="29">
        <f>'月次推移'!C14</f>
        <v>4</v>
      </c>
      <c r="E15" s="29">
        <f>'月次推移'!D14</f>
        <v>7</v>
      </c>
      <c r="F15" s="29">
        <f>'月次推移'!E14</f>
        <v>4</v>
      </c>
      <c r="G15" s="29">
        <f>'月次推移'!F14</f>
        <v>1</v>
      </c>
      <c r="H15" s="29">
        <f>'月次推移'!G14</f>
        <v>3</v>
      </c>
      <c r="I15" s="29">
        <f>'月次推移'!H14</f>
        <v>0</v>
      </c>
      <c r="J15" s="29">
        <f>'月次推移'!I14</f>
        <v>3</v>
      </c>
      <c r="K15" s="29">
        <f>'月次推移'!J14</f>
        <v>0</v>
      </c>
      <c r="L15" s="29">
        <f>'月次推移'!K14</f>
        <v>0</v>
      </c>
      <c r="M15" s="29">
        <f>'月次推移'!L14</f>
        <v>0</v>
      </c>
      <c r="N15" s="29">
        <f>'月次推移'!M14</f>
        <v>0</v>
      </c>
      <c r="O15" s="27">
        <f>'月次推移'!N14</f>
        <v>23</v>
      </c>
    </row>
    <row r="16" ht="14" customHeight="1">
      <c r="B16" s="24" t="inlineStr">
        <is>
          <t>退職数（正社員）</t>
        </is>
      </c>
      <c r="C16" s="25">
        <f>'月次推移'!B16</f>
        <v>2</v>
      </c>
      <c r="D16" s="25">
        <f>'月次推移'!C16</f>
        <v>1</v>
      </c>
      <c r="E16" s="25">
        <f>'月次推移'!D16</f>
        <v>1</v>
      </c>
      <c r="F16" s="25">
        <f>'月次推移'!E16</f>
        <v>1</v>
      </c>
      <c r="G16" s="25">
        <f>'月次推移'!F16</f>
        <v>3</v>
      </c>
      <c r="H16" s="25">
        <f>'月次推移'!G16</f>
        <v>3</v>
      </c>
      <c r="I16" s="25">
        <f>'月次推移'!H16</f>
        <v>1</v>
      </c>
      <c r="J16" s="25">
        <f>'月次推移'!I16</f>
        <v>1</v>
      </c>
      <c r="K16" s="25">
        <f>'月次推移'!J16</f>
        <v>0</v>
      </c>
      <c r="L16" s="25">
        <f>'月次推移'!K16</f>
        <v>1</v>
      </c>
      <c r="M16" s="25">
        <f>'月次推移'!L16</f>
        <v>2</v>
      </c>
      <c r="N16" s="25">
        <f>'月次推移'!M16</f>
        <v>1</v>
      </c>
      <c r="O16" s="27">
        <f>'月次推移'!N16</f>
        <v>17</v>
      </c>
    </row>
    <row r="17" ht="14" customHeight="1">
      <c r="B17" s="24" t="inlineStr">
        <is>
          <t>退職数（派遣）</t>
        </is>
      </c>
      <c r="C17" s="25">
        <f>'月次推移'!B17</f>
        <v>0</v>
      </c>
      <c r="D17" s="25">
        <f>'月次推移'!C17</f>
        <v>0</v>
      </c>
      <c r="E17" s="25">
        <f>'月次推移'!D17</f>
        <v>1</v>
      </c>
      <c r="F17" s="25">
        <f>'月次推移'!E17</f>
        <v>1</v>
      </c>
      <c r="G17" s="25">
        <f>'月次推移'!F17</f>
        <v>0</v>
      </c>
      <c r="H17" s="25">
        <f>'月次推移'!G17</f>
        <v>0</v>
      </c>
      <c r="I17" s="25">
        <f>'月次推移'!H17</f>
        <v>0</v>
      </c>
      <c r="J17" s="25">
        <f>'月次推移'!I17</f>
        <v>0</v>
      </c>
      <c r="K17" s="25">
        <f>'月次推移'!J17</f>
        <v>0</v>
      </c>
      <c r="L17" s="25">
        <f>'月次推移'!K17</f>
        <v>0</v>
      </c>
      <c r="M17" s="25">
        <f>'月次推移'!L17</f>
        <v>0</v>
      </c>
      <c r="N17" s="25">
        <f>'月次推移'!M17</f>
        <v>0</v>
      </c>
      <c r="O17" s="27">
        <f>'月次推移'!N17</f>
        <v>2</v>
      </c>
    </row>
    <row r="18" ht="14" customHeight="1">
      <c r="B18" s="24" t="inlineStr">
        <is>
          <t>長期欠勤等による離脱者数</t>
        </is>
      </c>
      <c r="C18" s="25">
        <f>'月次推移'!B18</f>
        <v>0</v>
      </c>
      <c r="D18" s="25">
        <f>'月次推移'!C18</f>
        <v>0</v>
      </c>
      <c r="E18" s="25">
        <f>'月次推移'!D18</f>
        <v>0</v>
      </c>
      <c r="F18" s="25">
        <f>'月次推移'!E18</f>
        <v>0</v>
      </c>
      <c r="G18" s="25">
        <f>'月次推移'!F18</f>
        <v>0</v>
      </c>
      <c r="H18" s="25">
        <f>'月次推移'!G18</f>
        <v>0</v>
      </c>
      <c r="I18" s="25">
        <f>'月次推移'!H18</f>
        <v>0</v>
      </c>
      <c r="J18" s="25">
        <f>'月次推移'!I18</f>
        <v>2</v>
      </c>
      <c r="K18" s="25">
        <f>'月次推移'!J18</f>
        <v>0</v>
      </c>
      <c r="L18" s="25">
        <f>'月次推移'!K18</f>
        <v>0</v>
      </c>
      <c r="M18" s="25">
        <f>'月次推移'!L18</f>
        <v>0</v>
      </c>
      <c r="N18" s="25">
        <f>'月次推移'!M18</f>
        <v>2</v>
      </c>
      <c r="O18" s="27">
        <f>'月次推移'!N18</f>
        <v>4</v>
      </c>
    </row>
    <row r="19" ht="14" customHeight="1">
      <c r="B19" s="28" t="inlineStr">
        <is>
          <t>出 合計</t>
        </is>
      </c>
      <c r="C19" s="29">
        <f>'月次推移'!B20</f>
        <v>2</v>
      </c>
      <c r="D19" s="29">
        <f>'月次推移'!C20</f>
        <v>1</v>
      </c>
      <c r="E19" s="29">
        <f>'月次推移'!D20</f>
        <v>2</v>
      </c>
      <c r="F19" s="29">
        <f>'月次推移'!E20</f>
        <v>2</v>
      </c>
      <c r="G19" s="29">
        <f>'月次推移'!F20</f>
        <v>3</v>
      </c>
      <c r="H19" s="29">
        <f>'月次推移'!G20</f>
        <v>3</v>
      </c>
      <c r="I19" s="29">
        <f>'月次推移'!H20</f>
        <v>1</v>
      </c>
      <c r="J19" s="29">
        <f>'月次推移'!I20</f>
        <v>3</v>
      </c>
      <c r="K19" s="29">
        <f>'月次推移'!J20</f>
        <v>0</v>
      </c>
      <c r="L19" s="29">
        <f>'月次推移'!K20</f>
        <v>1</v>
      </c>
      <c r="M19" s="29">
        <f>'月次推移'!L20</f>
        <v>2</v>
      </c>
      <c r="N19" s="29">
        <f>'月次推移'!M20</f>
        <v>3</v>
      </c>
      <c r="O19" s="27">
        <f>'月次推移'!N20</f>
        <v>23</v>
      </c>
    </row>
    <row r="20" ht="14" customHeight="1">
      <c r="B20" s="28" t="inlineStr">
        <is>
          <t>月末稼働数 (c)</t>
        </is>
      </c>
      <c r="C20" s="29">
        <f>'月次推移'!B22</f>
        <v>19</v>
      </c>
      <c r="D20" s="29">
        <f>'月次推移'!C22</f>
        <v>22</v>
      </c>
      <c r="E20" s="29">
        <f>'月次推移'!D22</f>
        <v>27</v>
      </c>
      <c r="F20" s="29">
        <f>'月次推移'!E22</f>
        <v>29</v>
      </c>
      <c r="G20" s="29">
        <f>'月次推移'!F22</f>
        <v>27</v>
      </c>
      <c r="H20" s="29">
        <f>'月次推移'!G22</f>
        <v>27</v>
      </c>
      <c r="I20" s="29">
        <f>'月次推移'!H22</f>
        <v>26</v>
      </c>
      <c r="J20" s="29">
        <f>'月次推移'!I22</f>
        <v>26</v>
      </c>
      <c r="K20" s="29">
        <f>'月次推移'!J22</f>
        <v>26</v>
      </c>
      <c r="L20" s="29">
        <f>'月次推移'!K22</f>
        <v>25</v>
      </c>
      <c r="M20" s="29">
        <f>'月次推移'!L22</f>
        <v>23</v>
      </c>
      <c r="N20" s="29">
        <f>'月次推移'!M22</f>
        <v>20</v>
      </c>
      <c r="O20" s="26" t="inlineStr">
        <is>
          <t>—</t>
        </is>
      </c>
    </row>
    <row r="21" ht="14" customHeight="1">
      <c r="B21" s="30" t="inlineStr">
        <is>
          <t>過不足 (c − a)</t>
        </is>
      </c>
      <c r="C21" s="31">
        <f>'月次推移'!B23</f>
        <v>-1</v>
      </c>
      <c r="D21" s="31">
        <f>'月次推移'!C23</f>
        <v>-3</v>
      </c>
      <c r="E21" s="31">
        <f>'月次推移'!D23</f>
        <v>2</v>
      </c>
      <c r="F21" s="31">
        <f>'月次推移'!E23</f>
        <v>4</v>
      </c>
      <c r="G21" s="31">
        <f>'月次推移'!F23</f>
        <v>2</v>
      </c>
      <c r="H21" s="31">
        <f>'月次推移'!G23</f>
        <v>2</v>
      </c>
      <c r="I21" s="31">
        <f>'月次推移'!H23</f>
        <v>1</v>
      </c>
      <c r="J21" s="31">
        <f>'月次推移'!I23</f>
        <v>1</v>
      </c>
      <c r="K21" s="31">
        <f>'月次推移'!J23</f>
        <v>1</v>
      </c>
      <c r="L21" s="31">
        <f>'月次推移'!K23</f>
        <v>0</v>
      </c>
      <c r="M21" s="31">
        <f>'月次推移'!L23</f>
        <v>-2</v>
      </c>
      <c r="N21" s="31">
        <f>'月次推移'!M23</f>
        <v>-5</v>
      </c>
      <c r="O21" s="32" t="inlineStr">
        <is>
          <t>—</t>
        </is>
      </c>
    </row>
    <row r="22" ht="5" customHeight="1"/>
    <row r="23" ht="16" customHeight="1">
      <c r="B23" s="20" t="inlineStr">
        <is>
          <t>必要数と稼働数の推移</t>
        </is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4" customHeight="1"/>
    <row r="25" ht="14" customHeight="1"/>
    <row r="26" ht="14" customHeight="1"/>
    <row r="27" ht="14" customHeight="1"/>
    <row r="28" ht="14" customHeight="1"/>
    <row r="29" ht="14" customHeight="1"/>
    <row r="30" ht="14" customHeight="1"/>
    <row r="31" ht="14" customHeight="1"/>
    <row r="32" ht="5" customHeight="1"/>
    <row r="33" ht="16" customHeight="1">
      <c r="B33" s="20" t="inlineStr">
        <is>
          <t>現状の課題</t>
        </is>
      </c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3" customHeight="1">
      <c r="B34" s="33" t="inlineStr">
        <is>
          <t>1.　12ヶ月で19名（正社員17名・派遣2名）が退職。年間離職率76.8%、月平均1.6名のペースで欠員が発生している。</t>
        </is>
      </c>
    </row>
    <row r="35" ht="13" customHeight="1">
      <c r="B35" s="33" t="inlineStr">
        <is>
          <t>2.　年間23名を採用したが、同期間に23名（退職19名＋長期欠勤等による離脱4名）が離脱し、純増はゼロ。採用は欠員補充に費やされている。</t>
        </is>
      </c>
    </row>
    <row r="36" ht="13" customHeight="1">
      <c r="B36" s="33" t="inlineStr">
        <is>
          <t>3.　必要数が20名→25名へ増える一方、稼働数は期首・期末とも20名で横ばい。2026年8月末は稼働率80%（20名／25名）、▲5名の欠員となっている。</t>
        </is>
      </c>
    </row>
    <row r="37" ht="22" customHeight="1">
      <c r="B37" s="34" t="inlineStr">
        <is>
          <t>今後1年間に必要となる採用数　＝　現時点の欠員 5名　＋　想定退職者数 19名</t>
        </is>
      </c>
      <c r="C37" s="35" t="n"/>
      <c r="D37" s="35" t="n"/>
      <c r="E37" s="35" t="n"/>
      <c r="F37" s="35" t="n"/>
      <c r="G37" s="35" t="n"/>
      <c r="H37" s="35" t="n"/>
      <c r="I37" s="35" t="n"/>
      <c r="J37" s="36">
        <f>-'月次推移'!M23+'月次推移'!N16+'月次推移'!N17</f>
        <v>24</v>
      </c>
      <c r="K37" s="35" t="n"/>
      <c r="L37" s="35" t="n"/>
      <c r="M37" s="35" t="n"/>
      <c r="N37" s="35" t="n"/>
      <c r="O37" s="37" t="n"/>
    </row>
    <row r="38" ht="11" customHeight="1">
      <c r="B38" s="38" t="inlineStr">
        <is>
          <t>※ 想定退職者数は直近12ヶ月の実績（19名）と同水準で推移すると仮定した試算値。異動（入）（出）は期間中いずれも0名のため本表では省略。明細は「月次推移」シート参照。</t>
        </is>
      </c>
    </row>
  </sheetData>
  <mergeCells count="30">
    <mergeCell ref="J6:L6"/>
    <mergeCell ref="B35:O35"/>
    <mergeCell ref="G6:I6"/>
    <mergeCell ref="J4:L4"/>
    <mergeCell ref="M6:O6"/>
    <mergeCell ref="G5:I5"/>
    <mergeCell ref="B2:O2"/>
    <mergeCell ref="D4:F4"/>
    <mergeCell ref="G4:I4"/>
    <mergeCell ref="B23:O23"/>
    <mergeCell ref="C9:G9"/>
    <mergeCell ref="B1:O1"/>
    <mergeCell ref="B8:O8"/>
    <mergeCell ref="B9:B10"/>
    <mergeCell ref="D5:F5"/>
    <mergeCell ref="H9:N9"/>
    <mergeCell ref="B38:O38"/>
    <mergeCell ref="M4:O4"/>
    <mergeCell ref="B37:I37"/>
    <mergeCell ref="B34:O34"/>
    <mergeCell ref="J5:L5"/>
    <mergeCell ref="B6:C6"/>
    <mergeCell ref="J37:O37"/>
    <mergeCell ref="B5:C5"/>
    <mergeCell ref="M5:O5"/>
    <mergeCell ref="O9:O10"/>
    <mergeCell ref="B33:O33"/>
    <mergeCell ref="D6:F6"/>
    <mergeCell ref="B36:O36"/>
    <mergeCell ref="B4:C4"/>
  </mergeCells>
  <conditionalFormatting sqref="C20:O20">
    <cfRule type="cellIs" priority="1" operator="lessThan" dxfId="0">
      <formula>0</formula>
    </cfRule>
  </conditionalFormatting>
  <conditionalFormatting sqref="C21:O21">
    <cfRule type="cellIs" priority="2" operator="lessThan" dxfId="0">
      <formula>0</formula>
    </cfRule>
  </conditionalFormatting>
  <printOptions horizontalCentered="1"/>
  <pageMargins left="0.35" right="0.35" top="0.35" bottom="0.35" header="0.1" footer="0.1"/>
  <pageSetup orientation="landscape" paperSize="9" fitToHeight="1" fitToWidth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F3864"/>
    <outlinePr summaryBelow="1" summaryRight="1"/>
    <pageSetUpPr fitToPage="1"/>
  </sheetPr>
  <dimension ref="B2:I30"/>
  <sheetViews>
    <sheetView showGridLines="0" tabSelected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3" customWidth="1" min="3" max="3"/>
    <col width="2.5" customWidth="1" min="4" max="4"/>
    <col width="20" customWidth="1" min="5" max="5"/>
    <col width="13" customWidth="1" min="6" max="6"/>
    <col width="2.5" customWidth="1" min="7" max="7"/>
    <col width="20" customWidth="1" min="8" max="8"/>
    <col width="13" customWidth="1" min="9" max="9"/>
    <col width="2.5" customWidth="1" min="10" max="10"/>
  </cols>
  <sheetData>
    <row r="2" ht="34" customHeight="1">
      <c r="B2" s="39" t="inlineStr">
        <is>
          <t>HND MMチーム　人員体制の現状と採用課題</t>
        </is>
      </c>
    </row>
    <row r="3" ht="18" customHeight="1">
      <c r="B3" s="40" t="inlineStr">
        <is>
          <t>対象期間：2025年9月〜2026年8月（12ヶ月実績）　／　採用媒体の活用に関する稟議　添付資料　1/3</t>
        </is>
      </c>
    </row>
    <row r="4" ht="6" customHeight="1">
      <c r="B4" s="3" t="n"/>
      <c r="C4" s="3" t="n"/>
      <c r="D4" s="3" t="n"/>
      <c r="E4" s="3" t="n"/>
      <c r="F4" s="3" t="n"/>
      <c r="G4" s="3" t="n"/>
      <c r="H4" s="3" t="n"/>
      <c r="I4" s="3" t="n"/>
    </row>
    <row r="6" ht="20" customHeight="1">
      <c r="B6" s="41" t="inlineStr">
        <is>
          <t>年間退職者数</t>
        </is>
      </c>
      <c r="C6" s="42" t="n"/>
      <c r="E6" s="41" t="inlineStr">
        <is>
          <t>年間離職率</t>
        </is>
      </c>
      <c r="F6" s="42" t="n"/>
      <c r="H6" s="41" t="inlineStr">
        <is>
          <t>月平均退職者数</t>
        </is>
      </c>
      <c r="I6" s="42" t="n"/>
    </row>
    <row r="7" ht="38" customHeight="1">
      <c r="B7" s="43">
        <f>'月次推移'!N16+'月次推移'!N17</f>
        <v>19</v>
      </c>
      <c r="C7" s="44" t="n"/>
      <c r="E7" s="45">
        <f>('月次推移'!N16+'月次推移'!N17)/AVERAGE('月次推移'!B8:M8)</f>
        <v>0.7676767677</v>
      </c>
      <c r="F7" s="44" t="n"/>
      <c r="H7" s="46">
        <f>('月次推移'!N16+'月次推移'!N17)/12</f>
        <v>1.5833333333</v>
      </c>
      <c r="I7" s="44" t="n"/>
    </row>
    <row r="8" ht="16" customHeight="1">
      <c r="B8" s="47" t="inlineStr">
        <is>
          <t>正社員17名・派遣2名</t>
        </is>
      </c>
      <c r="C8" s="48" t="n"/>
      <c r="E8" s="47" t="inlineStr">
        <is>
          <t>年間退職者数 ÷ 平均月初稼働数</t>
        </is>
      </c>
      <c r="F8" s="48" t="n"/>
      <c r="H8" s="47" t="inlineStr">
        <is>
          <t>12ヶ月中11ヶ月で退職が発生</t>
        </is>
      </c>
      <c r="I8" s="48" t="n"/>
    </row>
    <row r="10" ht="20" customHeight="1">
      <c r="B10" s="49" t="inlineStr">
        <is>
          <t>年間採用者数</t>
        </is>
      </c>
      <c r="C10" s="42" t="n"/>
      <c r="E10" s="49" t="inlineStr">
        <is>
          <t>年間の純増減</t>
        </is>
      </c>
      <c r="F10" s="42" t="n"/>
      <c r="H10" s="41" t="inlineStr">
        <is>
          <t>期末の過不足</t>
        </is>
      </c>
      <c r="I10" s="42" t="n"/>
    </row>
    <row r="11" ht="38" customHeight="1">
      <c r="B11" s="50">
        <f>'月次推移'!N11+'月次推移'!N12</f>
        <v>23</v>
      </c>
      <c r="C11" s="44" t="n"/>
      <c r="E11" s="51">
        <f>'月次推移'!N14-'月次推移'!N20</f>
        <v>0</v>
      </c>
      <c r="F11" s="44" t="n"/>
      <c r="H11" s="52">
        <f>'月次推移'!M23</f>
        <v>-5</v>
      </c>
      <c r="I11" s="44" t="n"/>
    </row>
    <row r="12" ht="16" customHeight="1">
      <c r="B12" s="47" t="inlineStr">
        <is>
          <t>正社員21名・派遣2名</t>
        </is>
      </c>
      <c r="C12" s="48" t="n"/>
      <c r="E12" s="47" t="inlineStr">
        <is>
          <t>採用23名 − 離脱23名</t>
        </is>
      </c>
      <c r="F12" s="48" t="n"/>
      <c r="H12" s="47" t="inlineStr">
        <is>
          <t>2026年8月末　必要数25名に対して</t>
        </is>
      </c>
      <c r="I12" s="48" t="n"/>
    </row>
    <row r="14" ht="24" customHeight="1">
      <c r="B14" s="53" t="inlineStr">
        <is>
          <t>現状の課題</t>
        </is>
      </c>
    </row>
    <row r="15" ht="22" customHeight="1">
      <c r="B15" s="54" t="inlineStr">
        <is>
          <t>1.　退職が恒常的に発生し、年間離職率は76.8%に達する</t>
        </is>
      </c>
    </row>
    <row r="16" ht="34" customHeight="1">
      <c r="B16" s="55" t="inlineStr">
        <is>
          <t xml:space="preserve">　　12ヶ月で19名（正社員17名・派遣2名）が退職。月平均1.6名のペースで欠員が発生し続けている。</t>
        </is>
      </c>
    </row>
    <row r="17" ht="22" customHeight="1">
      <c r="B17" s="54" t="inlineStr">
        <is>
          <t>2.　年間23名を採用しても、同数の23名が離脱し純増はゼロ</t>
        </is>
      </c>
    </row>
    <row r="18" ht="34" customHeight="1">
      <c r="B18" s="55" t="inlineStr">
        <is>
          <t xml:space="preserve">　　入（採用・異動）23名に対し、出（退職19名＋長期欠勤等による離脱4名）23名。採用は欠員補充に費やされ、体制の積み増しに至っていない。</t>
        </is>
      </c>
    </row>
    <row r="19" ht="22" customHeight="1">
      <c r="B19" s="54" t="inlineStr">
        <is>
          <t>3.　必要数の増加（20名→25名）に体制が追いつかず、期末時点で▲5名の欠員</t>
        </is>
      </c>
    </row>
    <row r="20" ht="34" customHeight="1">
      <c r="B20" s="55" t="inlineStr">
        <is>
          <t xml:space="preserve">　　必要数が20名から25名へ引き上げられた一方、稼働数は期首・期末とも20名で横ばい。2026年7月以降は必要数を下回り、8月末は稼働率80%（20名／25名）の状態にある。</t>
        </is>
      </c>
    </row>
    <row r="21" ht="22" customHeight="1">
      <c r="B21" s="54" t="inlineStr">
        <is>
          <t>4.　現行の採用手法では、退職ペースを上回る採用が実現できていない</t>
        </is>
      </c>
    </row>
    <row r="22" ht="34" customHeight="1">
      <c r="B22" s="55" t="inlineStr">
        <is>
          <t xml:space="preserve">　　欠員解消（5名）に加え、今後も想定される年間19名規模の退職補充が必要。採用母集団の拡大が不可欠である。</t>
        </is>
      </c>
    </row>
    <row r="24" ht="24" customHeight="1">
      <c r="B24" s="53" t="inlineStr">
        <is>
          <t>参考試算：今後1年間に必要となる採用数</t>
        </is>
      </c>
    </row>
    <row r="25" ht="21" customHeight="1">
      <c r="B25" s="56" t="inlineStr">
        <is>
          <t>① 現時点の欠員（2026年8月末）</t>
        </is>
      </c>
      <c r="C25" s="57" t="n"/>
      <c r="D25" s="57" t="n"/>
      <c r="E25" s="58">
        <f>-'月次推移'!M23</f>
        <v>5</v>
      </c>
      <c r="F25" s="59" t="inlineStr">
        <is>
          <t>必要数25名 − 稼働数20名</t>
        </is>
      </c>
      <c r="G25" s="57" t="n"/>
      <c r="H25" s="57" t="n"/>
      <c r="I25" s="60" t="n"/>
    </row>
    <row r="26" ht="21" customHeight="1">
      <c r="B26" s="56" t="inlineStr">
        <is>
          <t>② 今後1年間の想定退職者数</t>
        </is>
      </c>
      <c r="C26" s="57" t="n"/>
      <c r="D26" s="57" t="n"/>
      <c r="E26" s="58">
        <f>'月次推移'!N16+'月次推移'!N17</f>
        <v>19</v>
      </c>
      <c r="F26" s="59" t="inlineStr">
        <is>
          <t>直近12ヶ月の実績と同水準で推移すると仮定</t>
        </is>
      </c>
      <c r="G26" s="57" t="n"/>
      <c r="H26" s="57" t="n"/>
      <c r="I26" s="60" t="n"/>
    </row>
    <row r="27" ht="21" customHeight="1">
      <c r="B27" s="61" t="inlineStr">
        <is>
          <t>③ 必要採用数（① ＋ ②）</t>
        </is>
      </c>
      <c r="C27" s="62" t="n"/>
      <c r="D27" s="62" t="n"/>
      <c r="E27" s="63">
        <f>E25+E26</f>
        <v>24</v>
      </c>
      <c r="F27" s="64" t="inlineStr">
        <is>
          <t>欠員解消および退職補充に要する年間採用数</t>
        </is>
      </c>
      <c r="G27" s="62" t="n"/>
      <c r="H27" s="62" t="n"/>
      <c r="I27" s="65" t="n"/>
    </row>
    <row r="28" ht="16" customHeight="1">
      <c r="B28" s="66" t="inlineStr">
        <is>
          <t>※ 上記②は直近12ヶ月の退職実績（19名）を前提とした試算値であり、実績値ではない。</t>
        </is>
      </c>
    </row>
    <row r="30">
      <c r="B30" s="66" t="inlineStr">
        <is>
          <t>出典：HND MMチーム 人員推移管理表（2025年9月〜2026年8月実績）　／　明細は「月次推移」シート参照</t>
        </is>
      </c>
    </row>
  </sheetData>
  <mergeCells count="38">
    <mergeCell ref="E12:F12"/>
    <mergeCell ref="F27:I27"/>
    <mergeCell ref="B7:C7"/>
    <mergeCell ref="B25:C25"/>
    <mergeCell ref="H10:I10"/>
    <mergeCell ref="B16:I16"/>
    <mergeCell ref="B3:I3"/>
    <mergeCell ref="B22:I22"/>
    <mergeCell ref="B27:C27"/>
    <mergeCell ref="E8:F8"/>
    <mergeCell ref="B12:C12"/>
    <mergeCell ref="B18:I18"/>
    <mergeCell ref="B21:I21"/>
    <mergeCell ref="H6:I6"/>
    <mergeCell ref="B11:C11"/>
    <mergeCell ref="E10:F10"/>
    <mergeCell ref="B2:I2"/>
    <mergeCell ref="B14:I14"/>
    <mergeCell ref="F25:I25"/>
    <mergeCell ref="B8:C8"/>
    <mergeCell ref="B17:I17"/>
    <mergeCell ref="H11:I11"/>
    <mergeCell ref="E6:F6"/>
    <mergeCell ref="H7:I7"/>
    <mergeCell ref="B10:C10"/>
    <mergeCell ref="E11:F11"/>
    <mergeCell ref="B28:I28"/>
    <mergeCell ref="B19:I19"/>
    <mergeCell ref="B6:C6"/>
    <mergeCell ref="H12:I12"/>
    <mergeCell ref="F26:I26"/>
    <mergeCell ref="B30:I30"/>
    <mergeCell ref="B15:I15"/>
    <mergeCell ref="B26:C26"/>
    <mergeCell ref="E7:F7"/>
    <mergeCell ref="B24:I24"/>
    <mergeCell ref="B20:I20"/>
    <mergeCell ref="H8:I8"/>
  </mergeCells>
  <pageMargins left="0.4" right="0.4" top="1" bottom="1" header="0.5" footer="0.5"/>
  <pageSetup orientation="portrait" paperSize="9" fitToHeight="1" fitToWidth="1"/>
  <legacyDrawing r:id="anysvml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N31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.6" customWidth="1" min="2" max="2"/>
    <col width="6.6" customWidth="1" min="3" max="3"/>
    <col width="6.6" customWidth="1" min="4" max="4"/>
    <col width="6.6" customWidth="1" min="5" max="5"/>
    <col width="6.6" customWidth="1" min="6" max="6"/>
    <col width="6.6" customWidth="1" min="7" max="7"/>
    <col width="6.6" customWidth="1" min="8" max="8"/>
    <col width="6.6" customWidth="1" min="9" max="9"/>
    <col width="6.6" customWidth="1" min="10" max="10"/>
    <col width="6.6" customWidth="1" min="11" max="11"/>
    <col width="6.6" customWidth="1" min="12" max="12"/>
    <col width="6.6" customWidth="1" min="13" max="13"/>
    <col width="10.5" customWidth="1" min="14" max="14"/>
  </cols>
  <sheetData>
    <row r="1" ht="30" customHeight="1">
      <c r="A1" s="67" t="inlineStr">
        <is>
          <t>HND MMチーム　人員推移（2025年9月〜2026年8月）</t>
        </is>
      </c>
    </row>
    <row r="2" ht="16" customHeight="1">
      <c r="A2" s="66" t="inlineStr">
        <is>
          <t>採用媒体の活用に関する稟議　添付資料　2/3　（月次明細）　／　単位：名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20" customHeight="1">
      <c r="A4" s="68" t="inlineStr">
        <is>
          <t>項　目</t>
        </is>
      </c>
      <c r="B4" s="68" t="inlineStr">
        <is>
          <t>2025年</t>
        </is>
      </c>
      <c r="C4" s="68" t="n"/>
      <c r="D4" s="68" t="n"/>
      <c r="E4" s="68" t="n"/>
      <c r="F4" s="68" t="n"/>
      <c r="G4" s="68" t="inlineStr">
        <is>
          <t>2026年</t>
        </is>
      </c>
      <c r="H4" s="68" t="n"/>
      <c r="I4" s="68" t="n"/>
      <c r="J4" s="68" t="n"/>
      <c r="K4" s="68" t="n"/>
      <c r="L4" s="68" t="n"/>
      <c r="M4" s="68" t="n"/>
      <c r="N4" s="68" t="inlineStr">
        <is>
          <t>年間計</t>
        </is>
      </c>
    </row>
    <row r="5" ht="20" customHeight="1">
      <c r="A5" s="69" t="n"/>
      <c r="B5" s="69" t="inlineStr">
        <is>
          <t>9月</t>
        </is>
      </c>
      <c r="C5" s="69" t="inlineStr">
        <is>
          <t>10月</t>
        </is>
      </c>
      <c r="D5" s="69" t="inlineStr">
        <is>
          <t>11月</t>
        </is>
      </c>
      <c r="E5" s="69" t="inlineStr">
        <is>
          <t>12月</t>
        </is>
      </c>
      <c r="F5" s="69" t="inlineStr">
        <is>
          <t>1月</t>
        </is>
      </c>
      <c r="G5" s="69" t="inlineStr">
        <is>
          <t>2月</t>
        </is>
      </c>
      <c r="H5" s="69" t="inlineStr">
        <is>
          <t>3月</t>
        </is>
      </c>
      <c r="I5" s="69" t="inlineStr">
        <is>
          <t>4月</t>
        </is>
      </c>
      <c r="J5" s="69" t="inlineStr">
        <is>
          <t>5月</t>
        </is>
      </c>
      <c r="K5" s="69" t="inlineStr">
        <is>
          <t>6月</t>
        </is>
      </c>
      <c r="L5" s="69" t="inlineStr">
        <is>
          <t>7月</t>
        </is>
      </c>
      <c r="M5" s="69" t="inlineStr">
        <is>
          <t>8月</t>
        </is>
      </c>
      <c r="N5" s="69" t="n"/>
    </row>
    <row r="6" ht="18" customHeight="1">
      <c r="A6" s="70" t="inlineStr">
        <is>
          <t>体　制</t>
        </is>
      </c>
      <c r="B6" s="71" t="n"/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2" t="n"/>
    </row>
    <row r="7" ht="19" customHeight="1">
      <c r="A7" s="56" t="inlineStr">
        <is>
          <t>必要数 (a)</t>
        </is>
      </c>
      <c r="B7" s="73" t="n">
        <v>20</v>
      </c>
      <c r="C7" s="73" t="n">
        <v>25</v>
      </c>
      <c r="D7" s="73" t="n">
        <v>25</v>
      </c>
      <c r="E7" s="73" t="n">
        <v>25</v>
      </c>
      <c r="F7" s="73" t="n">
        <v>25</v>
      </c>
      <c r="G7" s="73" t="n">
        <v>25</v>
      </c>
      <c r="H7" s="73" t="n">
        <v>25</v>
      </c>
      <c r="I7" s="73" t="n">
        <v>25</v>
      </c>
      <c r="J7" s="73" t="n">
        <v>25</v>
      </c>
      <c r="K7" s="73" t="n">
        <v>25</v>
      </c>
      <c r="L7" s="73" t="n">
        <v>25</v>
      </c>
      <c r="M7" s="73" t="n">
        <v>25</v>
      </c>
      <c r="N7" s="74" t="inlineStr">
        <is>
          <t>—</t>
        </is>
      </c>
    </row>
    <row r="8" ht="19" customHeight="1">
      <c r="A8" s="75" t="inlineStr">
        <is>
          <t>月初稼働数 (b)</t>
        </is>
      </c>
      <c r="B8" s="76" t="n">
        <v>20</v>
      </c>
      <c r="C8" s="77">
        <f>B22</f>
        <v>19</v>
      </c>
      <c r="D8" s="77">
        <f>C22</f>
        <v>22</v>
      </c>
      <c r="E8" s="77">
        <f>D22</f>
        <v>27</v>
      </c>
      <c r="F8" s="77">
        <f>E22</f>
        <v>29</v>
      </c>
      <c r="G8" s="77">
        <f>F22</f>
        <v>27</v>
      </c>
      <c r="H8" s="77">
        <f>G22</f>
        <v>27</v>
      </c>
      <c r="I8" s="77">
        <f>H22</f>
        <v>26</v>
      </c>
      <c r="J8" s="77">
        <f>I22</f>
        <v>26</v>
      </c>
      <c r="K8" s="77">
        <f>J22</f>
        <v>26</v>
      </c>
      <c r="L8" s="77">
        <f>K22</f>
        <v>25</v>
      </c>
      <c r="M8" s="77">
        <f>L22</f>
        <v>23</v>
      </c>
      <c r="N8" s="78" t="inlineStr">
        <is>
          <t>—</t>
        </is>
      </c>
    </row>
    <row r="9" ht="19" customHeight="1">
      <c r="A9" s="56" t="inlineStr">
        <is>
          <t>差異 (b − a)</t>
        </is>
      </c>
      <c r="B9" s="79">
        <f>B8-B7</f>
        <v>0</v>
      </c>
      <c r="C9" s="79">
        <f>C8-C7</f>
        <v>-6</v>
      </c>
      <c r="D9" s="79">
        <f>D8-D7</f>
        <v>-3</v>
      </c>
      <c r="E9" s="79">
        <f>E8-E7</f>
        <v>2</v>
      </c>
      <c r="F9" s="79">
        <f>F8-F7</f>
        <v>4</v>
      </c>
      <c r="G9" s="79">
        <f>G8-G7</f>
        <v>2</v>
      </c>
      <c r="H9" s="79">
        <f>H8-H7</f>
        <v>2</v>
      </c>
      <c r="I9" s="79">
        <f>I8-I7</f>
        <v>1</v>
      </c>
      <c r="J9" s="79">
        <f>J8-J7</f>
        <v>1</v>
      </c>
      <c r="K9" s="79">
        <f>K8-K7</f>
        <v>1</v>
      </c>
      <c r="L9" s="79">
        <f>L8-L7</f>
        <v>0</v>
      </c>
      <c r="M9" s="79">
        <f>M8-M7</f>
        <v>-2</v>
      </c>
      <c r="N9" s="74" t="inlineStr">
        <is>
          <t>—</t>
        </is>
      </c>
    </row>
    <row r="10" ht="18" customHeight="1">
      <c r="A10" s="70" t="inlineStr">
        <is>
          <t>入（増員）</t>
        </is>
      </c>
      <c r="B10" s="71" t="n"/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2" t="n"/>
    </row>
    <row r="11" ht="19" customHeight="1">
      <c r="A11" s="56" t="inlineStr">
        <is>
          <t>採用数（正社員）</t>
        </is>
      </c>
      <c r="B11" s="73" t="n">
        <v>0</v>
      </c>
      <c r="C11" s="73" t="n">
        <v>4</v>
      </c>
      <c r="D11" s="73" t="n">
        <v>6</v>
      </c>
      <c r="E11" s="73" t="n">
        <v>4</v>
      </c>
      <c r="F11" s="73" t="n">
        <v>1</v>
      </c>
      <c r="G11" s="73" t="n">
        <v>3</v>
      </c>
      <c r="H11" s="73" t="n">
        <v>0</v>
      </c>
      <c r="I11" s="73" t="n">
        <v>3</v>
      </c>
      <c r="J11" s="73" t="n">
        <v>0</v>
      </c>
      <c r="K11" s="73" t="n">
        <v>0</v>
      </c>
      <c r="L11" s="73" t="n">
        <v>0</v>
      </c>
      <c r="M11" s="73" t="n">
        <v>0</v>
      </c>
      <c r="N11" s="80">
        <f>SUM(B11:M11)</f>
        <v>21</v>
      </c>
    </row>
    <row r="12" ht="19" customHeight="1">
      <c r="A12" s="56" t="inlineStr">
        <is>
          <t>採用数（派遣）</t>
        </is>
      </c>
      <c r="B12" s="73" t="n">
        <v>1</v>
      </c>
      <c r="C12" s="73" t="n">
        <v>0</v>
      </c>
      <c r="D12" s="73" t="n">
        <v>1</v>
      </c>
      <c r="E12" s="73" t="n">
        <v>0</v>
      </c>
      <c r="F12" s="73" t="n">
        <v>0</v>
      </c>
      <c r="G12" s="73" t="n">
        <v>0</v>
      </c>
      <c r="H12" s="73" t="n">
        <v>0</v>
      </c>
      <c r="I12" s="73" t="n">
        <v>0</v>
      </c>
      <c r="J12" s="73" t="n">
        <v>0</v>
      </c>
      <c r="K12" s="73" t="n">
        <v>0</v>
      </c>
      <c r="L12" s="73" t="n">
        <v>0</v>
      </c>
      <c r="M12" s="73" t="n">
        <v>0</v>
      </c>
      <c r="N12" s="80">
        <f>SUM(B12:M12)</f>
        <v>2</v>
      </c>
    </row>
    <row r="13" ht="19" customHeight="1">
      <c r="A13" s="56" t="inlineStr">
        <is>
          <t>異動（入）</t>
        </is>
      </c>
      <c r="B13" s="73" t="n">
        <v>0</v>
      </c>
      <c r="C13" s="73" t="n">
        <v>0</v>
      </c>
      <c r="D13" s="73" t="n">
        <v>0</v>
      </c>
      <c r="E13" s="73" t="n">
        <v>0</v>
      </c>
      <c r="F13" s="73" t="n">
        <v>0</v>
      </c>
      <c r="G13" s="73" t="n">
        <v>0</v>
      </c>
      <c r="H13" s="73" t="n">
        <v>0</v>
      </c>
      <c r="I13" s="73" t="n">
        <v>0</v>
      </c>
      <c r="J13" s="73" t="n">
        <v>0</v>
      </c>
      <c r="K13" s="73" t="n">
        <v>0</v>
      </c>
      <c r="L13" s="73" t="n">
        <v>0</v>
      </c>
      <c r="M13" s="73" t="n">
        <v>0</v>
      </c>
      <c r="N13" s="80">
        <f>SUM(B13:M13)</f>
        <v>0</v>
      </c>
    </row>
    <row r="14" ht="19" customHeight="1">
      <c r="A14" s="81" t="inlineStr">
        <is>
          <t>入 合計</t>
        </is>
      </c>
      <c r="B14" s="82">
        <f>SUM(B11:B13)</f>
        <v>1</v>
      </c>
      <c r="C14" s="82">
        <f>SUM(C11:C13)</f>
        <v>4</v>
      </c>
      <c r="D14" s="82">
        <f>SUM(D11:D13)</f>
        <v>7</v>
      </c>
      <c r="E14" s="82">
        <f>SUM(E11:E13)</f>
        <v>4</v>
      </c>
      <c r="F14" s="82">
        <f>SUM(F11:F13)</f>
        <v>1</v>
      </c>
      <c r="G14" s="82">
        <f>SUM(G11:G13)</f>
        <v>3</v>
      </c>
      <c r="H14" s="82">
        <f>SUM(H11:H13)</f>
        <v>0</v>
      </c>
      <c r="I14" s="82">
        <f>SUM(I11:I13)</f>
        <v>3</v>
      </c>
      <c r="J14" s="82">
        <f>SUM(J11:J13)</f>
        <v>0</v>
      </c>
      <c r="K14" s="82">
        <f>SUM(K11:K13)</f>
        <v>0</v>
      </c>
      <c r="L14" s="82">
        <f>SUM(L11:L13)</f>
        <v>0</v>
      </c>
      <c r="M14" s="82">
        <f>SUM(M11:M13)</f>
        <v>0</v>
      </c>
      <c r="N14" s="80">
        <f>SUM(B14:M14)</f>
        <v>23</v>
      </c>
    </row>
    <row r="15" ht="18" customHeight="1">
      <c r="A15" s="70" t="inlineStr">
        <is>
          <t>出（減員）</t>
        </is>
      </c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2" t="n"/>
    </row>
    <row r="16" ht="19" customHeight="1">
      <c r="A16" s="56" t="inlineStr">
        <is>
          <t>退職数（正社員）</t>
        </is>
      </c>
      <c r="B16" s="73" t="n">
        <v>2</v>
      </c>
      <c r="C16" s="73" t="n">
        <v>1</v>
      </c>
      <c r="D16" s="73" t="n">
        <v>1</v>
      </c>
      <c r="E16" s="73" t="n">
        <v>1</v>
      </c>
      <c r="F16" s="73" t="n">
        <v>3</v>
      </c>
      <c r="G16" s="73" t="n">
        <v>3</v>
      </c>
      <c r="H16" s="73" t="n">
        <v>1</v>
      </c>
      <c r="I16" s="73" t="n">
        <v>1</v>
      </c>
      <c r="J16" s="73" t="n">
        <v>0</v>
      </c>
      <c r="K16" s="73" t="n">
        <v>1</v>
      </c>
      <c r="L16" s="73" t="n">
        <v>2</v>
      </c>
      <c r="M16" s="73" t="n">
        <v>1</v>
      </c>
      <c r="N16" s="80">
        <f>SUM(B16:M16)</f>
        <v>17</v>
      </c>
    </row>
    <row r="17" ht="19" customHeight="1">
      <c r="A17" s="56" t="inlineStr">
        <is>
          <t>退職数（派遣）</t>
        </is>
      </c>
      <c r="B17" s="73" t="n">
        <v>0</v>
      </c>
      <c r="C17" s="73" t="n">
        <v>0</v>
      </c>
      <c r="D17" s="73" t="n">
        <v>1</v>
      </c>
      <c r="E17" s="73" t="n">
        <v>1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80">
        <f>SUM(B17:M17)</f>
        <v>2</v>
      </c>
    </row>
    <row r="18" ht="19" customHeight="1">
      <c r="A18" s="56" t="inlineStr">
        <is>
          <t>長期欠勤等による離脱者数</t>
        </is>
      </c>
      <c r="B18" s="73" t="n">
        <v>0</v>
      </c>
      <c r="C18" s="73" t="n">
        <v>0</v>
      </c>
      <c r="D18" s="73" t="n">
        <v>0</v>
      </c>
      <c r="E18" s="73" t="n">
        <v>0</v>
      </c>
      <c r="F18" s="73" t="n">
        <v>0</v>
      </c>
      <c r="G18" s="73" t="n">
        <v>0</v>
      </c>
      <c r="H18" s="73" t="n">
        <v>0</v>
      </c>
      <c r="I18" s="73" t="n">
        <v>2</v>
      </c>
      <c r="J18" s="73" t="n">
        <v>0</v>
      </c>
      <c r="K18" s="73" t="n">
        <v>0</v>
      </c>
      <c r="L18" s="73" t="n">
        <v>0</v>
      </c>
      <c r="M18" s="73" t="n">
        <v>2</v>
      </c>
      <c r="N18" s="80">
        <f>SUM(B18:M18)</f>
        <v>4</v>
      </c>
    </row>
    <row r="19" ht="19" customHeight="1">
      <c r="A19" s="56" t="inlineStr">
        <is>
          <t>異動（出）</t>
        </is>
      </c>
      <c r="B19" s="73" t="n">
        <v>0</v>
      </c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80">
        <f>SUM(B19:M19)</f>
        <v>0</v>
      </c>
    </row>
    <row r="20" ht="19" customHeight="1">
      <c r="A20" s="81" t="inlineStr">
        <is>
          <t>出 合計</t>
        </is>
      </c>
      <c r="B20" s="82">
        <f>SUM(B16:B19)</f>
        <v>2</v>
      </c>
      <c r="C20" s="82">
        <f>SUM(C16:C19)</f>
        <v>1</v>
      </c>
      <c r="D20" s="82">
        <f>SUM(D16:D19)</f>
        <v>2</v>
      </c>
      <c r="E20" s="82">
        <f>SUM(E16:E19)</f>
        <v>2</v>
      </c>
      <c r="F20" s="82">
        <f>SUM(F16:F19)</f>
        <v>3</v>
      </c>
      <c r="G20" s="82">
        <f>SUM(G16:G19)</f>
        <v>3</v>
      </c>
      <c r="H20" s="82">
        <f>SUM(H16:H19)</f>
        <v>1</v>
      </c>
      <c r="I20" s="82">
        <f>SUM(I16:I19)</f>
        <v>3</v>
      </c>
      <c r="J20" s="82">
        <f>SUM(J16:J19)</f>
        <v>0</v>
      </c>
      <c r="K20" s="82">
        <f>SUM(K16:K19)</f>
        <v>1</v>
      </c>
      <c r="L20" s="82">
        <f>SUM(L16:L19)</f>
        <v>2</v>
      </c>
      <c r="M20" s="82">
        <f>SUM(M16:M19)</f>
        <v>3</v>
      </c>
      <c r="N20" s="80">
        <f>SUM(B20:M20)</f>
        <v>23</v>
      </c>
    </row>
    <row r="21" ht="18" customHeight="1">
      <c r="A21" s="70" t="inlineStr">
        <is>
          <t>結　果</t>
        </is>
      </c>
      <c r="B21" s="71" t="n"/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2" t="n"/>
    </row>
    <row r="22" ht="19" customHeight="1">
      <c r="A22" s="75" t="inlineStr">
        <is>
          <t>月末稼働数 (c)</t>
        </is>
      </c>
      <c r="B22" s="77">
        <f>B8+B14-B20</f>
        <v>19</v>
      </c>
      <c r="C22" s="77">
        <f>C8+C14-C20</f>
        <v>22</v>
      </c>
      <c r="D22" s="77">
        <f>D8+D14-D20</f>
        <v>27</v>
      </c>
      <c r="E22" s="77">
        <f>E8+E14-E20</f>
        <v>29</v>
      </c>
      <c r="F22" s="77">
        <f>F8+F14-F20</f>
        <v>27</v>
      </c>
      <c r="G22" s="77">
        <f>G8+G14-G20</f>
        <v>27</v>
      </c>
      <c r="H22" s="77">
        <f>H8+H14-H20</f>
        <v>26</v>
      </c>
      <c r="I22" s="77">
        <f>I8+I14-I20</f>
        <v>26</v>
      </c>
      <c r="J22" s="77">
        <f>J8+J14-J20</f>
        <v>26</v>
      </c>
      <c r="K22" s="77">
        <f>K8+K14-K20</f>
        <v>25</v>
      </c>
      <c r="L22" s="77">
        <f>L8+L14-L20</f>
        <v>23</v>
      </c>
      <c r="M22" s="77">
        <f>M8+M14-M20</f>
        <v>20</v>
      </c>
      <c r="N22" s="78" t="inlineStr">
        <is>
          <t>—</t>
        </is>
      </c>
    </row>
    <row r="23" ht="19" customHeight="1">
      <c r="A23" s="83" t="inlineStr">
        <is>
          <t>過不足 (c − a)</t>
        </is>
      </c>
      <c r="B23" s="84">
        <f>B22-B7</f>
        <v>-1</v>
      </c>
      <c r="C23" s="84">
        <f>C22-C7</f>
        <v>-3</v>
      </c>
      <c r="D23" s="84">
        <f>D22-D7</f>
        <v>2</v>
      </c>
      <c r="E23" s="84">
        <f>E22-E7</f>
        <v>4</v>
      </c>
      <c r="F23" s="84">
        <f>F22-F7</f>
        <v>2</v>
      </c>
      <c r="G23" s="84">
        <f>G22-G7</f>
        <v>2</v>
      </c>
      <c r="H23" s="84">
        <f>H22-H7</f>
        <v>1</v>
      </c>
      <c r="I23" s="84">
        <f>I22-I7</f>
        <v>1</v>
      </c>
      <c r="J23" s="84">
        <f>J22-J7</f>
        <v>1</v>
      </c>
      <c r="K23" s="84">
        <f>K22-K7</f>
        <v>0</v>
      </c>
      <c r="L23" s="84">
        <f>L22-L7</f>
        <v>-2</v>
      </c>
      <c r="M23" s="84">
        <f>M22-M7</f>
        <v>-5</v>
      </c>
      <c r="N23" s="85" t="inlineStr">
        <is>
          <t>—</t>
        </is>
      </c>
    </row>
    <row r="25" ht="15" customHeight="1">
      <c r="A25" s="86" t="inlineStr">
        <is>
          <t>【注記】</t>
        </is>
      </c>
    </row>
    <row r="26" ht="15" customHeight="1">
      <c r="A26" s="87" t="inlineStr">
        <is>
          <t>1. 数値の単位は「名」。青字セルは実績入力値、黒字セルは計算式による自動算出。マイナスは「▲」（赤字）で表示。</t>
        </is>
      </c>
    </row>
    <row r="27" ht="15" customHeight="1">
      <c r="A27" s="87" t="inlineStr">
        <is>
          <t>2. 「月初稼働数(b)」は前月の「月末稼働数(c)」を引き継ぐ（2025年9月のみ実績入力）。</t>
        </is>
      </c>
    </row>
    <row r="28" ht="15" customHeight="1">
      <c r="A28" s="87" t="inlineStr">
        <is>
          <t>3. 「月末稼働数(c)」＝ 月初稼働数(b) ＋ 入 合計 − 出 合計。</t>
        </is>
      </c>
    </row>
    <row r="29" ht="15" customHeight="1">
      <c r="A29" s="87" t="inlineStr">
        <is>
          <t>4. 「長期欠勤等による離脱者数」は在籍のままラインに入れない人数を指し、退職数には含まない。</t>
        </is>
      </c>
    </row>
    <row r="30" ht="15" customHeight="1">
      <c r="A30" s="87" t="inlineStr">
        <is>
          <t>5. 「年間計」欄の「—」は、月次の累計になじまない項目（在籍数・過不足）であることを示す。</t>
        </is>
      </c>
    </row>
    <row r="31" ht="15" customHeight="1">
      <c r="A31" s="87" t="inlineStr">
        <is>
          <t>6. 出典：HND MMチーム 人員推移管理表（2025年9月〜2026年8月実績）。</t>
        </is>
      </c>
    </row>
  </sheetData>
  <mergeCells count="17">
    <mergeCell ref="B4:F4"/>
    <mergeCell ref="A27:N27"/>
    <mergeCell ref="A31:N31"/>
    <mergeCell ref="A6:N6"/>
    <mergeCell ref="A4:A5"/>
    <mergeCell ref="A26:N26"/>
    <mergeCell ref="A21:N21"/>
    <mergeCell ref="A2:N2"/>
    <mergeCell ref="A30:N30"/>
    <mergeCell ref="N4:N5"/>
    <mergeCell ref="G4:M4"/>
    <mergeCell ref="A15:N15"/>
    <mergeCell ref="A25:N25"/>
    <mergeCell ref="A29:N29"/>
    <mergeCell ref="A10:N10"/>
    <mergeCell ref="A28:N28"/>
    <mergeCell ref="A1:N1"/>
  </mergeCells>
  <conditionalFormatting sqref="B9:M9">
    <cfRule type="cellIs" priority="1" operator="lessThan" dxfId="1">
      <formula>0</formula>
    </cfRule>
  </conditionalFormatting>
  <conditionalFormatting sqref="B23:M23">
    <cfRule type="cellIs" priority="2" operator="lessThan" dxfId="1">
      <formula>0</formula>
    </cfRule>
  </conditionalFormatting>
  <printOptions horizontalCentered="1"/>
  <pageMargins left="0.4" right="0.4" top="0.5" bottom="0.5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002F5597"/>
    <outlinePr summaryBelow="1" summaryRight="1"/>
    <pageSetUpPr fitToPage="1"/>
  </sheetPr>
  <dimension ref="B2:N61"/>
  <sheetViews>
    <sheetView showGridLines="0" tabSelected="0" workbookViewId="0">
      <selection activeCell="A1" sqref="A1"/>
    </sheetView>
  </sheetViews>
  <sheetFormatPr baseColWidth="8" defaultRowHeight="15"/>
  <cols>
    <col width="2.5" customWidth="1" min="1" max="1"/>
    <col width="21" customWidth="1" min="2" max="2"/>
    <col width="6.8" customWidth="1" min="3" max="3"/>
    <col width="6.8" customWidth="1" min="4" max="4"/>
    <col width="6.8" customWidth="1" min="5" max="5"/>
    <col width="6.8" customWidth="1" min="6" max="6"/>
    <col width="6.8" customWidth="1" min="7" max="7"/>
    <col width="6.8" customWidth="1" min="8" max="8"/>
    <col width="6.8" customWidth="1" min="9" max="9"/>
    <col width="6.8" customWidth="1" min="10" max="10"/>
    <col width="6.8" customWidth="1" min="11" max="11"/>
    <col width="6.8" customWidth="1" min="12" max="12"/>
    <col width="6.8" customWidth="1" min="13" max="13"/>
    <col width="6.8" customWidth="1" min="14" max="14"/>
  </cols>
  <sheetData>
    <row r="2" ht="30" customHeight="1">
      <c r="B2" s="67" t="inlineStr">
        <is>
          <t>HND MMチーム　人員推移グラフ</t>
        </is>
      </c>
    </row>
    <row r="3">
      <c r="B3" s="66" t="inlineStr">
        <is>
          <t>対象期間：2025年9月〜2026年8月　／　採用媒体の活用に関する稟議　添付資料　3/3</t>
        </is>
      </c>
    </row>
    <row r="4" ht="6" customHeight="1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24" ht="20" customHeight="1">
      <c r="B24" s="88" t="inlineStr">
        <is>
          <t>月別数値：必要数・稼働数</t>
        </is>
      </c>
    </row>
    <row r="25" ht="19" customHeight="1">
      <c r="B25" s="89" t="inlineStr">
        <is>
          <t>項　目</t>
        </is>
      </c>
      <c r="C25" s="89" t="inlineStr">
        <is>
          <t>9月</t>
        </is>
      </c>
      <c r="D25" s="89" t="inlineStr">
        <is>
          <t>10月</t>
        </is>
      </c>
      <c r="E25" s="89" t="inlineStr">
        <is>
          <t>11月</t>
        </is>
      </c>
      <c r="F25" s="89" t="inlineStr">
        <is>
          <t>12月</t>
        </is>
      </c>
      <c r="G25" s="89" t="inlineStr">
        <is>
          <t>1月</t>
        </is>
      </c>
      <c r="H25" s="89" t="inlineStr">
        <is>
          <t>2月</t>
        </is>
      </c>
      <c r="I25" s="89" t="inlineStr">
        <is>
          <t>3月</t>
        </is>
      </c>
      <c r="J25" s="89" t="inlineStr">
        <is>
          <t>4月</t>
        </is>
      </c>
      <c r="K25" s="89" t="inlineStr">
        <is>
          <t>5月</t>
        </is>
      </c>
      <c r="L25" s="89" t="inlineStr">
        <is>
          <t>6月</t>
        </is>
      </c>
      <c r="M25" s="89" t="inlineStr">
        <is>
          <t>7月</t>
        </is>
      </c>
      <c r="N25" s="89" t="inlineStr">
        <is>
          <t>8月</t>
        </is>
      </c>
    </row>
    <row r="26" ht="18" customHeight="1">
      <c r="B26" s="90" t="inlineStr">
        <is>
          <t>必要数 (a)</t>
        </is>
      </c>
      <c r="C26" s="91">
        <f>'月次推移'!B7</f>
        <v>20</v>
      </c>
      <c r="D26" s="91">
        <f>'月次推移'!C7</f>
        <v>25</v>
      </c>
      <c r="E26" s="91">
        <f>'月次推移'!D7</f>
        <v>25</v>
      </c>
      <c r="F26" s="91">
        <f>'月次推移'!E7</f>
        <v>25</v>
      </c>
      <c r="G26" s="91">
        <f>'月次推移'!F7</f>
        <v>25</v>
      </c>
      <c r="H26" s="91">
        <f>'月次推移'!G7</f>
        <v>25</v>
      </c>
      <c r="I26" s="91">
        <f>'月次推移'!H7</f>
        <v>25</v>
      </c>
      <c r="J26" s="91">
        <f>'月次推移'!I7</f>
        <v>25</v>
      </c>
      <c r="K26" s="91">
        <f>'月次推移'!J7</f>
        <v>25</v>
      </c>
      <c r="L26" s="91">
        <f>'月次推移'!K7</f>
        <v>25</v>
      </c>
      <c r="M26" s="91">
        <f>'月次推移'!L7</f>
        <v>25</v>
      </c>
      <c r="N26" s="92">
        <f>'月次推移'!M7</f>
        <v>25</v>
      </c>
    </row>
    <row r="27" ht="18" customHeight="1">
      <c r="B27" s="90" t="inlineStr">
        <is>
          <t>月初稼働数 (b)</t>
        </is>
      </c>
      <c r="C27" s="91">
        <f>'月次推移'!B8</f>
        <v>20</v>
      </c>
      <c r="D27" s="91">
        <f>'月次推移'!C8</f>
        <v>19</v>
      </c>
      <c r="E27" s="91">
        <f>'月次推移'!D8</f>
        <v>22</v>
      </c>
      <c r="F27" s="91">
        <f>'月次推移'!E8</f>
        <v>27</v>
      </c>
      <c r="G27" s="91">
        <f>'月次推移'!F8</f>
        <v>29</v>
      </c>
      <c r="H27" s="91">
        <f>'月次推移'!G8</f>
        <v>27</v>
      </c>
      <c r="I27" s="91">
        <f>'月次推移'!H8</f>
        <v>27</v>
      </c>
      <c r="J27" s="91">
        <f>'月次推移'!I8</f>
        <v>26</v>
      </c>
      <c r="K27" s="91">
        <f>'月次推移'!J8</f>
        <v>26</v>
      </c>
      <c r="L27" s="91">
        <f>'月次推移'!K8</f>
        <v>26</v>
      </c>
      <c r="M27" s="91">
        <f>'月次推移'!L8</f>
        <v>25</v>
      </c>
      <c r="N27" s="92">
        <f>'月次推移'!M8</f>
        <v>23</v>
      </c>
    </row>
    <row r="28" ht="18" customHeight="1">
      <c r="B28" s="93" t="inlineStr">
        <is>
          <t>月末稼働数 (c)</t>
        </is>
      </c>
      <c r="C28" s="94">
        <f>'月次推移'!B22</f>
        <v>19</v>
      </c>
      <c r="D28" s="94">
        <f>'月次推移'!C22</f>
        <v>22</v>
      </c>
      <c r="E28" s="94">
        <f>'月次推移'!D22</f>
        <v>27</v>
      </c>
      <c r="F28" s="94">
        <f>'月次推移'!E22</f>
        <v>29</v>
      </c>
      <c r="G28" s="94">
        <f>'月次推移'!F22</f>
        <v>27</v>
      </c>
      <c r="H28" s="94">
        <f>'月次推移'!G22</f>
        <v>27</v>
      </c>
      <c r="I28" s="94">
        <f>'月次推移'!H22</f>
        <v>26</v>
      </c>
      <c r="J28" s="94">
        <f>'月次推移'!I22</f>
        <v>26</v>
      </c>
      <c r="K28" s="94">
        <f>'月次推移'!J22</f>
        <v>26</v>
      </c>
      <c r="L28" s="94">
        <f>'月次推移'!K22</f>
        <v>25</v>
      </c>
      <c r="M28" s="94">
        <f>'月次推移'!L22</f>
        <v>23</v>
      </c>
      <c r="N28" s="95">
        <f>'月次推移'!M22</f>
        <v>20</v>
      </c>
    </row>
    <row r="29" ht="18" customHeight="1">
      <c r="B29" s="96" t="inlineStr">
        <is>
          <t>過不足 (c − a)</t>
        </is>
      </c>
      <c r="C29" s="97">
        <f>'月次推移'!B23</f>
        <v>-1</v>
      </c>
      <c r="D29" s="97">
        <f>'月次推移'!C23</f>
        <v>-3</v>
      </c>
      <c r="E29" s="97">
        <f>'月次推移'!D23</f>
        <v>2</v>
      </c>
      <c r="F29" s="97">
        <f>'月次推移'!E23</f>
        <v>4</v>
      </c>
      <c r="G29" s="97">
        <f>'月次推移'!F23</f>
        <v>2</v>
      </c>
      <c r="H29" s="97">
        <f>'月次推移'!G23</f>
        <v>2</v>
      </c>
      <c r="I29" s="97">
        <f>'月次推移'!H23</f>
        <v>1</v>
      </c>
      <c r="J29" s="97">
        <f>'月次推移'!I23</f>
        <v>1</v>
      </c>
      <c r="K29" s="97">
        <f>'月次推移'!J23</f>
        <v>1</v>
      </c>
      <c r="L29" s="97">
        <f>'月次推移'!K23</f>
        <v>0</v>
      </c>
      <c r="M29" s="97">
        <f>'月次推移'!L23</f>
        <v>-2</v>
      </c>
      <c r="N29" s="98">
        <f>'月次推移'!M23</f>
        <v>-5</v>
      </c>
    </row>
    <row r="50" ht="20" customHeight="1">
      <c r="B50" s="88" t="inlineStr">
        <is>
          <t>月別数値：入（増員）・出（減員）</t>
        </is>
      </c>
    </row>
    <row r="51" ht="19" customHeight="1">
      <c r="B51" s="89" t="inlineStr">
        <is>
          <t>項　目</t>
        </is>
      </c>
      <c r="C51" s="89" t="inlineStr">
        <is>
          <t>9月</t>
        </is>
      </c>
      <c r="D51" s="89" t="inlineStr">
        <is>
          <t>10月</t>
        </is>
      </c>
      <c r="E51" s="89" t="inlineStr">
        <is>
          <t>11月</t>
        </is>
      </c>
      <c r="F51" s="89" t="inlineStr">
        <is>
          <t>12月</t>
        </is>
      </c>
      <c r="G51" s="89" t="inlineStr">
        <is>
          <t>1月</t>
        </is>
      </c>
      <c r="H51" s="89" t="inlineStr">
        <is>
          <t>2月</t>
        </is>
      </c>
      <c r="I51" s="89" t="inlineStr">
        <is>
          <t>3月</t>
        </is>
      </c>
      <c r="J51" s="89" t="inlineStr">
        <is>
          <t>4月</t>
        </is>
      </c>
      <c r="K51" s="89" t="inlineStr">
        <is>
          <t>5月</t>
        </is>
      </c>
      <c r="L51" s="89" t="inlineStr">
        <is>
          <t>6月</t>
        </is>
      </c>
      <c r="M51" s="89" t="inlineStr">
        <is>
          <t>7月</t>
        </is>
      </c>
      <c r="N51" s="89" t="inlineStr">
        <is>
          <t>8月</t>
        </is>
      </c>
    </row>
    <row r="52" ht="18" customHeight="1">
      <c r="B52" s="90" t="inlineStr">
        <is>
          <t>採用数（正社員）</t>
        </is>
      </c>
      <c r="C52" s="91">
        <f>'月次推移'!B11</f>
        <v>0</v>
      </c>
      <c r="D52" s="91">
        <f>'月次推移'!C11</f>
        <v>4</v>
      </c>
      <c r="E52" s="91">
        <f>'月次推移'!D11</f>
        <v>6</v>
      </c>
      <c r="F52" s="91">
        <f>'月次推移'!E11</f>
        <v>4</v>
      </c>
      <c r="G52" s="91">
        <f>'月次推移'!F11</f>
        <v>1</v>
      </c>
      <c r="H52" s="91">
        <f>'月次推移'!G11</f>
        <v>3</v>
      </c>
      <c r="I52" s="91">
        <f>'月次推移'!H11</f>
        <v>0</v>
      </c>
      <c r="J52" s="91">
        <f>'月次推移'!I11</f>
        <v>3</v>
      </c>
      <c r="K52" s="91">
        <f>'月次推移'!J11</f>
        <v>0</v>
      </c>
      <c r="L52" s="91">
        <f>'月次推移'!K11</f>
        <v>0</v>
      </c>
      <c r="M52" s="91">
        <f>'月次推移'!L11</f>
        <v>0</v>
      </c>
      <c r="N52" s="92">
        <f>'月次推移'!M11</f>
        <v>0</v>
      </c>
    </row>
    <row r="53" ht="18" customHeight="1">
      <c r="B53" s="90" t="inlineStr">
        <is>
          <t>採用数（派遣）</t>
        </is>
      </c>
      <c r="C53" s="91">
        <f>'月次推移'!B12</f>
        <v>1</v>
      </c>
      <c r="D53" s="91">
        <f>'月次推移'!C12</f>
        <v>0</v>
      </c>
      <c r="E53" s="91">
        <f>'月次推移'!D12</f>
        <v>1</v>
      </c>
      <c r="F53" s="91">
        <f>'月次推移'!E12</f>
        <v>0</v>
      </c>
      <c r="G53" s="91">
        <f>'月次推移'!F12</f>
        <v>0</v>
      </c>
      <c r="H53" s="91">
        <f>'月次推移'!G12</f>
        <v>0</v>
      </c>
      <c r="I53" s="91">
        <f>'月次推移'!H12</f>
        <v>0</v>
      </c>
      <c r="J53" s="91">
        <f>'月次推移'!I12</f>
        <v>0</v>
      </c>
      <c r="K53" s="91">
        <f>'月次推移'!J12</f>
        <v>0</v>
      </c>
      <c r="L53" s="91">
        <f>'月次推移'!K12</f>
        <v>0</v>
      </c>
      <c r="M53" s="91">
        <f>'月次推移'!L12</f>
        <v>0</v>
      </c>
      <c r="N53" s="92">
        <f>'月次推移'!M12</f>
        <v>0</v>
      </c>
    </row>
    <row r="54" ht="18" customHeight="1">
      <c r="B54" s="93" t="inlineStr">
        <is>
          <t>入 合計</t>
        </is>
      </c>
      <c r="C54" s="94">
        <f>'月次推移'!B14</f>
        <v>1</v>
      </c>
      <c r="D54" s="94">
        <f>'月次推移'!C14</f>
        <v>4</v>
      </c>
      <c r="E54" s="94">
        <f>'月次推移'!D14</f>
        <v>7</v>
      </c>
      <c r="F54" s="94">
        <f>'月次推移'!E14</f>
        <v>4</v>
      </c>
      <c r="G54" s="94">
        <f>'月次推移'!F14</f>
        <v>1</v>
      </c>
      <c r="H54" s="94">
        <f>'月次推移'!G14</f>
        <v>3</v>
      </c>
      <c r="I54" s="94">
        <f>'月次推移'!H14</f>
        <v>0</v>
      </c>
      <c r="J54" s="94">
        <f>'月次推移'!I14</f>
        <v>3</v>
      </c>
      <c r="K54" s="94">
        <f>'月次推移'!J14</f>
        <v>0</v>
      </c>
      <c r="L54" s="94">
        <f>'月次推移'!K14</f>
        <v>0</v>
      </c>
      <c r="M54" s="94">
        <f>'月次推移'!L14</f>
        <v>0</v>
      </c>
      <c r="N54" s="95">
        <f>'月次推移'!M14</f>
        <v>0</v>
      </c>
    </row>
    <row r="55" ht="18" customHeight="1">
      <c r="B55" s="90" t="inlineStr">
        <is>
          <t>退職数（正社員）</t>
        </is>
      </c>
      <c r="C55" s="91">
        <f>'月次推移'!B16</f>
        <v>2</v>
      </c>
      <c r="D55" s="91">
        <f>'月次推移'!C16</f>
        <v>1</v>
      </c>
      <c r="E55" s="91">
        <f>'月次推移'!D16</f>
        <v>1</v>
      </c>
      <c r="F55" s="91">
        <f>'月次推移'!E16</f>
        <v>1</v>
      </c>
      <c r="G55" s="91">
        <f>'月次推移'!F16</f>
        <v>3</v>
      </c>
      <c r="H55" s="91">
        <f>'月次推移'!G16</f>
        <v>3</v>
      </c>
      <c r="I55" s="91">
        <f>'月次推移'!H16</f>
        <v>1</v>
      </c>
      <c r="J55" s="91">
        <f>'月次推移'!I16</f>
        <v>1</v>
      </c>
      <c r="K55" s="91">
        <f>'月次推移'!J16</f>
        <v>0</v>
      </c>
      <c r="L55" s="91">
        <f>'月次推移'!K16</f>
        <v>1</v>
      </c>
      <c r="M55" s="91">
        <f>'月次推移'!L16</f>
        <v>2</v>
      </c>
      <c r="N55" s="92">
        <f>'月次推移'!M16</f>
        <v>1</v>
      </c>
    </row>
    <row r="56" ht="18" customHeight="1">
      <c r="B56" s="90" t="inlineStr">
        <is>
          <t>退職数（派遣）</t>
        </is>
      </c>
      <c r="C56" s="91">
        <f>'月次推移'!B17</f>
        <v>0</v>
      </c>
      <c r="D56" s="91">
        <f>'月次推移'!C17</f>
        <v>0</v>
      </c>
      <c r="E56" s="91">
        <f>'月次推移'!D17</f>
        <v>1</v>
      </c>
      <c r="F56" s="91">
        <f>'月次推移'!E17</f>
        <v>1</v>
      </c>
      <c r="G56" s="91">
        <f>'月次推移'!F17</f>
        <v>0</v>
      </c>
      <c r="H56" s="91">
        <f>'月次推移'!G17</f>
        <v>0</v>
      </c>
      <c r="I56" s="91">
        <f>'月次推移'!H17</f>
        <v>0</v>
      </c>
      <c r="J56" s="91">
        <f>'月次推移'!I17</f>
        <v>0</v>
      </c>
      <c r="K56" s="91">
        <f>'月次推移'!J17</f>
        <v>0</v>
      </c>
      <c r="L56" s="91">
        <f>'月次推移'!K17</f>
        <v>0</v>
      </c>
      <c r="M56" s="91">
        <f>'月次推移'!L17</f>
        <v>0</v>
      </c>
      <c r="N56" s="92">
        <f>'月次推移'!M17</f>
        <v>0</v>
      </c>
    </row>
    <row r="57" ht="18" customHeight="1">
      <c r="B57" s="90" t="inlineStr">
        <is>
          <t>長期欠勤等による離脱</t>
        </is>
      </c>
      <c r="C57" s="91">
        <f>'月次推移'!B18</f>
        <v>0</v>
      </c>
      <c r="D57" s="91">
        <f>'月次推移'!C18</f>
        <v>0</v>
      </c>
      <c r="E57" s="91">
        <f>'月次推移'!D18</f>
        <v>0</v>
      </c>
      <c r="F57" s="91">
        <f>'月次推移'!E18</f>
        <v>0</v>
      </c>
      <c r="G57" s="91">
        <f>'月次推移'!F18</f>
        <v>0</v>
      </c>
      <c r="H57" s="91">
        <f>'月次推移'!G18</f>
        <v>0</v>
      </c>
      <c r="I57" s="91">
        <f>'月次推移'!H18</f>
        <v>0</v>
      </c>
      <c r="J57" s="91">
        <f>'月次推移'!I18</f>
        <v>2</v>
      </c>
      <c r="K57" s="91">
        <f>'月次推移'!J18</f>
        <v>0</v>
      </c>
      <c r="L57" s="91">
        <f>'月次推移'!K18</f>
        <v>0</v>
      </c>
      <c r="M57" s="91">
        <f>'月次推移'!L18</f>
        <v>0</v>
      </c>
      <c r="N57" s="92">
        <f>'月次推移'!M18</f>
        <v>2</v>
      </c>
    </row>
    <row r="58" ht="18" customHeight="1">
      <c r="B58" s="93" t="inlineStr">
        <is>
          <t>出 合計</t>
        </is>
      </c>
      <c r="C58" s="94">
        <f>'月次推移'!B20</f>
        <v>2</v>
      </c>
      <c r="D58" s="94">
        <f>'月次推移'!C20</f>
        <v>1</v>
      </c>
      <c r="E58" s="94">
        <f>'月次推移'!D20</f>
        <v>2</v>
      </c>
      <c r="F58" s="94">
        <f>'月次推移'!E20</f>
        <v>2</v>
      </c>
      <c r="G58" s="94">
        <f>'月次推移'!F20</f>
        <v>3</v>
      </c>
      <c r="H58" s="94">
        <f>'月次推移'!G20</f>
        <v>3</v>
      </c>
      <c r="I58" s="94">
        <f>'月次推移'!H20</f>
        <v>1</v>
      </c>
      <c r="J58" s="94">
        <f>'月次推移'!I20</f>
        <v>3</v>
      </c>
      <c r="K58" s="94">
        <f>'月次推移'!J20</f>
        <v>0</v>
      </c>
      <c r="L58" s="94">
        <f>'月次推移'!K20</f>
        <v>1</v>
      </c>
      <c r="M58" s="94">
        <f>'月次推移'!L20</f>
        <v>2</v>
      </c>
      <c r="N58" s="95">
        <f>'月次推移'!M20</f>
        <v>3</v>
      </c>
    </row>
    <row r="59" ht="18" customHeight="1">
      <c r="B59" s="96" t="inlineStr">
        <is>
          <t>純増減（入 − 出）</t>
        </is>
      </c>
      <c r="C59" s="97">
        <f>'月次推移'!B14-'月次推移'!B20</f>
        <v>-1</v>
      </c>
      <c r="D59" s="97">
        <f>'月次推移'!C14-'月次推移'!C20</f>
        <v>3</v>
      </c>
      <c r="E59" s="97">
        <f>'月次推移'!D14-'月次推移'!D20</f>
        <v>5</v>
      </c>
      <c r="F59" s="97">
        <f>'月次推移'!E14-'月次推移'!E20</f>
        <v>2</v>
      </c>
      <c r="G59" s="97">
        <f>'月次推移'!F14-'月次推移'!F20</f>
        <v>-2</v>
      </c>
      <c r="H59" s="97">
        <f>'月次推移'!G14-'月次推移'!G20</f>
        <v>0</v>
      </c>
      <c r="I59" s="97">
        <f>'月次推移'!H14-'月次推移'!H20</f>
        <v>-1</v>
      </c>
      <c r="J59" s="97">
        <f>'月次推移'!I14-'月次推移'!I20</f>
        <v>0</v>
      </c>
      <c r="K59" s="97">
        <f>'月次推移'!J14-'月次推移'!J20</f>
        <v>0</v>
      </c>
      <c r="L59" s="97">
        <f>'月次推移'!K14-'月次推移'!K20</f>
        <v>-1</v>
      </c>
      <c r="M59" s="97">
        <f>'月次推移'!L14-'月次推移'!L20</f>
        <v>-2</v>
      </c>
      <c r="N59" s="98">
        <f>'月次推移'!M14-'月次推移'!M20</f>
        <v>-3</v>
      </c>
    </row>
    <row r="61">
      <c r="B61" s="99" t="inlineStr">
        <is>
          <t>※ 数値はいずれも「月次推移」シートを参照。単位は名、マイナスは「▲」（赤字）で表示。</t>
        </is>
      </c>
    </row>
  </sheetData>
  <mergeCells count="5">
    <mergeCell ref="B61:N61"/>
    <mergeCell ref="B24:N24"/>
    <mergeCell ref="B50:N50"/>
    <mergeCell ref="B3:N3"/>
    <mergeCell ref="B2:N2"/>
  </mergeCells>
  <printOptions horizontalCentered="1"/>
  <pageMargins left="0.4" right="0.4" top="1" bottom="1" header="0.5" footer="0.5"/>
  <pageSetup orientation="landscape" paperSize="9" fitToHeight="0" fitToWidth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HND MMチーム</dc:creator>
  <dc:title>HND MMチーム 人員推移（稟議添付資料）</dc:title>
  <dcterms:created xsi:type="dcterms:W3CDTF">2026-08-21T04:46:55Z</dcterms:created>
  <dcterms:modified xsi:type="dcterms:W3CDTF">2026-08-21T04:46:55Z</dcterms:modified>
</cp:coreProperties>
</file>