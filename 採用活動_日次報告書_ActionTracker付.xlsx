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695641045b4a325/"/>
    </mc:Choice>
  </mc:AlternateContent>
  <xr:revisionPtr revIDLastSave="0" documentId="8_{9991396B-FAE7-47D5-B924-AAECA6E12EE6}" xr6:coauthVersionLast="47" xr6:coauthVersionMax="47" xr10:uidLastSave="{00000000-0000-0000-0000-000000000000}"/>
  <bookViews>
    <workbookView xWindow="-22530" yWindow="3810" windowWidth="17280" windowHeight="9960" firstSheet="3" xr2:uid="{00000000-000D-0000-FFFF-FFFF00000000}"/>
  </bookViews>
  <sheets>
    <sheet name="社長報告08_05" sheetId="1" r:id="rId1"/>
    <sheet name="KPIダッシュボード" sheetId="2" r:id="rId2"/>
    <sheet name="日次レポート" sheetId="3" r:id="rId3"/>
    <sheet name="応募者データ" sheetId="4" r:id="rId4"/>
    <sheet name="マスタ" sheetId="5" r:id="rId5"/>
  </sheets>
  <definedNames>
    <definedName name="_xlnm._FilterDatabase" localSheetId="3" hidden="1">応募者データ!$A$1:$U$33</definedName>
    <definedName name="_xlnm.Print_Area" localSheetId="0">社長報告08_05!$A$1:$G$46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H33" i="2"/>
  <c r="G33" i="2"/>
  <c r="F33" i="2"/>
  <c r="E33" i="2"/>
  <c r="D33" i="2"/>
  <c r="C33" i="2"/>
  <c r="H34" i="2"/>
  <c r="G34" i="2"/>
  <c r="F34" i="2"/>
  <c r="E34" i="2"/>
  <c r="D34" i="2"/>
  <c r="C34" i="2"/>
  <c r="B2" i="1"/>
  <c r="D14" i="2"/>
  <c r="F6" i="1" s="1"/>
  <c r="L9" i="3"/>
  <c r="L8" i="3"/>
  <c r="L7" i="3"/>
  <c r="L6" i="3"/>
  <c r="L5" i="3"/>
  <c r="L4" i="3"/>
  <c r="C78" i="2"/>
  <c r="C77" i="2"/>
  <c r="C76" i="2"/>
  <c r="C75" i="2"/>
  <c r="C74" i="2"/>
  <c r="C73" i="2"/>
  <c r="D73" i="2" s="1"/>
  <c r="C70" i="2"/>
  <c r="C69" i="2"/>
  <c r="C68" i="2"/>
  <c r="C67" i="2"/>
  <c r="C66" i="2"/>
  <c r="C65" i="2"/>
  <c r="D65" i="2" s="1"/>
  <c r="C62" i="2"/>
  <c r="C61" i="2"/>
  <c r="C60" i="2"/>
  <c r="C57" i="2"/>
  <c r="C56" i="2"/>
  <c r="C55" i="2"/>
  <c r="D55" i="2" s="1"/>
  <c r="C52" i="2"/>
  <c r="C51" i="2"/>
  <c r="C50" i="2"/>
  <c r="D50" i="2" s="1"/>
  <c r="C45" i="2"/>
  <c r="C44" i="2"/>
  <c r="H40" i="2"/>
  <c r="E45" i="2" s="1"/>
  <c r="E22" i="1" s="1"/>
  <c r="G40" i="2"/>
  <c r="F40" i="2"/>
  <c r="E40" i="2"/>
  <c r="D40" i="2"/>
  <c r="C40" i="2"/>
  <c r="H39" i="2"/>
  <c r="G39" i="2"/>
  <c r="F39" i="2"/>
  <c r="E39" i="2"/>
  <c r="D39" i="2"/>
  <c r="C39" i="2"/>
  <c r="H32" i="2"/>
  <c r="G32" i="2"/>
  <c r="F32" i="2"/>
  <c r="E32" i="2"/>
  <c r="D32" i="2"/>
  <c r="C32" i="2"/>
  <c r="H31" i="2"/>
  <c r="G31" i="2"/>
  <c r="F31" i="2"/>
  <c r="E31" i="2"/>
  <c r="D31" i="2"/>
  <c r="C31" i="2"/>
  <c r="H30" i="2"/>
  <c r="G30" i="2"/>
  <c r="F30" i="2"/>
  <c r="E30" i="2"/>
  <c r="D30" i="2"/>
  <c r="C30" i="2"/>
  <c r="H29" i="2"/>
  <c r="G29" i="2"/>
  <c r="F29" i="2"/>
  <c r="E29" i="2"/>
  <c r="D29" i="2"/>
  <c r="C29" i="2"/>
  <c r="H28" i="2"/>
  <c r="H35" i="2" s="1"/>
  <c r="G28" i="2"/>
  <c r="G35" i="2" s="1"/>
  <c r="F28" i="2"/>
  <c r="E28" i="2"/>
  <c r="D28" i="2"/>
  <c r="D35" i="2" s="1"/>
  <c r="C28" i="2"/>
  <c r="C35" i="2" s="1"/>
  <c r="F16" i="2"/>
  <c r="D16" i="2"/>
  <c r="F15" i="2"/>
  <c r="D15" i="2"/>
  <c r="F14" i="2"/>
  <c r="F13" i="2"/>
  <c r="D13" i="2"/>
  <c r="F12" i="2"/>
  <c r="D12" i="2"/>
  <c r="F11" i="2"/>
  <c r="D6" i="1"/>
  <c r="H5" i="2"/>
  <c r="B2" i="2"/>
  <c r="H39" i="1"/>
  <c r="G39" i="1"/>
  <c r="F39" i="1"/>
  <c r="E39" i="1"/>
  <c r="D39" i="1"/>
  <c r="C39" i="1"/>
  <c r="F36" i="1"/>
  <c r="F35" i="1"/>
  <c r="F34" i="1"/>
  <c r="F33" i="1"/>
  <c r="C33" i="1"/>
  <c r="F32" i="1"/>
  <c r="C32" i="1"/>
  <c r="F31" i="1"/>
  <c r="C31" i="1"/>
  <c r="D31" i="1" s="1"/>
  <c r="F28" i="1"/>
  <c r="C28" i="1"/>
  <c r="F27" i="1"/>
  <c r="G27" i="1" s="1"/>
  <c r="C27" i="1"/>
  <c r="C22" i="1"/>
  <c r="C21" i="1"/>
  <c r="D17" i="1"/>
  <c r="D13" i="1"/>
  <c r="C46" i="2" l="1"/>
  <c r="C23" i="1" s="1"/>
  <c r="C16" i="2"/>
  <c r="B6" i="1"/>
  <c r="E46" i="2"/>
  <c r="E23" i="1" s="1"/>
  <c r="G12" i="2"/>
  <c r="F13" i="1" s="1"/>
  <c r="C21" i="2"/>
  <c r="G28" i="1"/>
  <c r="D56" i="2"/>
  <c r="D57" i="2"/>
  <c r="D74" i="2"/>
  <c r="D75" i="2"/>
  <c r="D76" i="2"/>
  <c r="D77" i="2"/>
  <c r="D78" i="2"/>
  <c r="C20" i="2"/>
  <c r="G32" i="1"/>
  <c r="G33" i="1"/>
  <c r="G34" i="1"/>
  <c r="G36" i="1"/>
  <c r="D66" i="2"/>
  <c r="D67" i="2"/>
  <c r="D68" i="2"/>
  <c r="D69" i="2"/>
  <c r="D70" i="2"/>
  <c r="D60" i="2"/>
  <c r="D62" i="2"/>
  <c r="D33" i="1"/>
  <c r="D61" i="2"/>
  <c r="G13" i="2"/>
  <c r="F14" i="1" s="1"/>
  <c r="D14" i="1"/>
  <c r="D28" i="1"/>
  <c r="D51" i="2"/>
  <c r="E35" i="2"/>
  <c r="F35" i="2"/>
  <c r="D52" i="2"/>
  <c r="C22" i="2"/>
  <c r="G14" i="2"/>
  <c r="F15" i="1" s="1"/>
  <c r="G15" i="2"/>
  <c r="F16" i="1" s="1"/>
  <c r="G35" i="1"/>
  <c r="G31" i="1"/>
  <c r="D27" i="1"/>
  <c r="G11" i="2"/>
  <c r="F12" i="1" s="1"/>
  <c r="D12" i="1"/>
  <c r="D15" i="1"/>
  <c r="D44" i="2"/>
  <c r="D21" i="1" s="1"/>
  <c r="D32" i="1"/>
  <c r="G16" i="2"/>
  <c r="F17" i="1" s="1"/>
  <c r="E44" i="2"/>
  <c r="E21" i="1" s="1"/>
  <c r="C23" i="2"/>
  <c r="D45" i="2"/>
  <c r="D22" i="1" s="1"/>
  <c r="C24" i="2"/>
  <c r="D16" i="1"/>
  <c r="D46" i="2"/>
  <c r="D23" i="1" s="1"/>
  <c r="E16" i="2" l="1"/>
  <c r="E17" i="1" s="1"/>
  <c r="C15" i="2"/>
  <c r="C17" i="1"/>
  <c r="B8" i="1"/>
  <c r="C16" i="1" l="1"/>
  <c r="C14" i="2"/>
  <c r="E15" i="2"/>
  <c r="E16" i="1" s="1"/>
  <c r="C13" i="2" l="1"/>
  <c r="C15" i="1"/>
  <c r="F8" i="1"/>
  <c r="E14" i="2"/>
  <c r="E15" i="1" s="1"/>
  <c r="E13" i="2" l="1"/>
  <c r="E14" i="1" s="1"/>
  <c r="C12" i="2"/>
  <c r="C14" i="1"/>
  <c r="C11" i="2" l="1"/>
  <c r="C13" i="1"/>
  <c r="E12" i="2"/>
  <c r="E13" i="1" s="1"/>
  <c r="C12" i="1" l="1"/>
  <c r="E11" i="2"/>
  <c r="E12" i="1" l="1"/>
  <c r="D8" i="1"/>
</calcChain>
</file>

<file path=xl/sharedStrings.xml><?xml version="1.0" encoding="utf-8"?>
<sst xmlns="http://schemas.openxmlformats.org/spreadsheetml/2006/main" count="568" uniqueCount="198">
  <si>
    <t>採用活動　日次報告書</t>
  </si>
  <si>
    <t>担当者：遠藤</t>
    <rPh sb="4" eb="6">
      <t>エンドウ</t>
    </rPh>
    <phoneticPr fontId="23"/>
  </si>
  <si>
    <t>承諾（採用）</t>
  </si>
  <si>
    <t>応募数（累計）</t>
  </si>
  <si>
    <t>面接実施（累計）</t>
  </si>
  <si>
    <t>■ 採用ファネル（目標 vs 実績）</t>
  </si>
  <si>
    <t>指標</t>
  </si>
  <si>
    <t>目標</t>
  </si>
  <si>
    <t>実績</t>
  </si>
  <si>
    <t>達成率</t>
  </si>
  <si>
    <t>前日比</t>
  </si>
  <si>
    <t>応募数</t>
  </si>
  <si>
    <t>書類通過</t>
  </si>
  <si>
    <t>面接設定</t>
  </si>
  <si>
    <t>面接実施</t>
  </si>
  <si>
    <t>内定</t>
  </si>
  <si>
    <t>承諾</t>
  </si>
  <si>
    <t>■ 拠点別 採用目標 達成（承諾）</t>
  </si>
  <si>
    <t>拠点</t>
  </si>
  <si>
    <t>採用目標</t>
  </si>
  <si>
    <t>承諾実績</t>
  </si>
  <si>
    <t>NRT（成田）</t>
  </si>
  <si>
    <t>CTS（千歳）</t>
  </si>
  <si>
    <t>合計</t>
  </si>
  <si>
    <t>■ 応募者属性（累計）</t>
  </si>
  <si>
    <t>男女</t>
  </si>
  <si>
    <t>人数</t>
  </si>
  <si>
    <t>比率</t>
  </si>
  <si>
    <t>国籍</t>
  </si>
  <si>
    <t>男</t>
  </si>
  <si>
    <t>日本</t>
  </si>
  <si>
    <t>女</t>
  </si>
  <si>
    <t>外国籍</t>
  </si>
  <si>
    <t>経験</t>
  </si>
  <si>
    <t>就業区分</t>
  </si>
  <si>
    <t>経験者</t>
  </si>
  <si>
    <t>学生</t>
  </si>
  <si>
    <t>未経験者</t>
  </si>
  <si>
    <t>フリーター</t>
  </si>
  <si>
    <t>未入力</t>
  </si>
  <si>
    <t>社会人</t>
  </si>
  <si>
    <t>主婦・主夫</t>
  </si>
  <si>
    <t>その他</t>
  </si>
  <si>
    <t>年齢分布</t>
  </si>
  <si>
    <t>〜19</t>
  </si>
  <si>
    <t>20代</t>
  </si>
  <si>
    <t>30代</t>
  </si>
  <si>
    <t>40代</t>
  </si>
  <si>
    <t>50代</t>
  </si>
  <si>
    <t>60〜</t>
  </si>
  <si>
    <t>■ 特記事項・本日の動き（担当者記入）</t>
  </si>
  <si>
    <t>・現在の応募者数は17名、うち面接予定は2名です。
・内山さんが新たな採用ルートとして「ナリタJOBサポート」を開拓し、同ルート経由で旅客業務経験者（28歳・日本人女性）1名の応募がありました。現在、選考を進める予定です。
・ネオキャリアの求人原稿を一部修正した結果、主婦層と思われる応募（62歳女性・経験有無確認中）があり、応募層の広がりが見られています。
・プロジェクトメンバーの役割分担を整理し、制度設計（交通費、雇用形態、契約期間等）については、高田部長・坂本を中心に検討を進める体制としました。
【現在の課題】
短時間勤務希望者の採用を進めるにあたり、①本社研修（7日間・56時間）の教育体制、②交通費規程（週3日程度の勤務では現行規程上、自己負担が発生するケースがある）をはじめとした制度面の整理が必要と考えております。
引き続き、応募状況を確認しながら、媒体改善と制度設計を並行して進めてまいります。</t>
  </si>
  <si>
    <t>📊 短時間勤務者　採用KPIダッシュボード</t>
  </si>
  <si>
    <t>◎  目標設定 ─ 黄色セルに入力（採用目標から各段階の目標を自動逆算）</t>
  </si>
  <si>
    <t>採用目標（承諾・人）</t>
  </si>
  <si>
    <t>NRT(成田)</t>
  </si>
  <si>
    <t>CTS(千歳)</t>
  </si>
  <si>
    <t>歩留まり前提</t>
  </si>
  <si>
    <t>書類通過率</t>
  </si>
  <si>
    <t>面接設定率</t>
  </si>
  <si>
    <t>面接実施率</t>
  </si>
  <si>
    <t>内定率</t>
  </si>
  <si>
    <t>承諾率</t>
  </si>
  <si>
    <t>（応募→承諾）</t>
  </si>
  <si>
    <t>①  採用ファネル：目標(逆算) vs 実績（累計）</t>
  </si>
  <si>
    <t>目標(逆算)</t>
  </si>
  <si>
    <t>実績(累計)</t>
  </si>
  <si>
    <t>前日</t>
  </si>
  <si>
    <t>②  転換率（歩留まり）</t>
  </si>
  <si>
    <t>値</t>
  </si>
  <si>
    <t>計算式・定義</t>
  </si>
  <si>
    <t>書類通過 ÷ 応募数</t>
  </si>
  <si>
    <t>面接設定 ÷ 書類通過</t>
  </si>
  <si>
    <t>面接実施 ÷ 面接設定</t>
  </si>
  <si>
    <t>内定 ÷ 面接実施</t>
  </si>
  <si>
    <t>承諾 ÷ 内定</t>
  </si>
  <si>
    <t>③  媒体別 実績</t>
  </si>
  <si>
    <t>媒体</t>
  </si>
  <si>
    <t>バイトル</t>
  </si>
  <si>
    <t>マイナビバイト</t>
  </si>
  <si>
    <t>ちゃんと</t>
  </si>
  <si>
    <t>社員紹介</t>
  </si>
  <si>
    <t>HP</t>
  </si>
  <si>
    <t>ナリタjobサポート</t>
  </si>
  <si>
    <t>④  基地別 実績（NRT=成田 / CTS=千歳）</t>
  </si>
  <si>
    <t>基地</t>
  </si>
  <si>
    <t>⑤  拠点別 採用目標 達成状況（承諾＝採用人数）</t>
  </si>
  <si>
    <t>⑥  応募者属性（累計）</t>
  </si>
  <si>
    <t>構成比</t>
  </si>
  <si>
    <t>〜19歳</t>
  </si>
  <si>
    <t>60歳〜</t>
  </si>
  <si>
    <t>◆ 凡例・定義</t>
  </si>
  <si>
    <t>・黄色セル＝入力。採用目標（NRT/CTSの承諾人数）と歩留まり前提を入れると、各段階の目標を自動逆算します。</t>
  </si>
  <si>
    <t>・目標列＝承諾目標から逆算（承諾20名→内定25→面接実施42→面接設定50→書類通過72→応募144）。歩留まりを変えれば再計算されます。</t>
  </si>
  <si>
    <t>・実績・属性は［応募者データ］から自動集計。担当者は毎日そこを更新するだけです。経験／就業区分は各明細で入力してください。</t>
  </si>
  <si>
    <t>・前日／前日比は［日次レポート］の最終記録行との差分。毎日EODに1行追記してください。</t>
  </si>
  <si>
    <t>・面接設定＝「面接調整中／面接日確定／面接実施済み」。内定＝採用が「採用／入社予定／採用辞退／入社辞退」。承諾＝「採用／入社予定」。</t>
  </si>
  <si>
    <t>日次レポート（毎日 EOD に担当者が1行追記）</t>
  </si>
  <si>
    <t>使い方：応募者データを更新後、当日の累計値を下表に1行追記します（右の「現在の累計値」を転記でOK）。ダッシュボードの前日比・推移グラフに自動反映されます。灰色の行はサンプルです。実データ入力時に削除してください。</t>
  </si>
  <si>
    <t>日付</t>
  </si>
  <si>
    <t>担当者</t>
  </si>
  <si>
    <t>備考</t>
  </si>
  <si>
    <t>現在の累計値（自動）</t>
  </si>
  <si>
    <t>遠藤</t>
  </si>
  <si>
    <t>← サンプル：削除して実データを入力</t>
  </si>
  <si>
    <t>応募者データ（明細）　― 毎日ここを更新。ダッシュボード・社長報告は自動集計されます ―</t>
  </si>
  <si>
    <t>No.</t>
  </si>
  <si>
    <t>応募日</t>
  </si>
  <si>
    <t>氏名</t>
  </si>
  <si>
    <t>年齢</t>
  </si>
  <si>
    <t>性別</t>
  </si>
  <si>
    <t>属性</t>
  </si>
  <si>
    <t>書類選考</t>
  </si>
  <si>
    <t>履歴書回収</t>
  </si>
  <si>
    <t>書類NG理由</t>
  </si>
  <si>
    <t>面接</t>
  </si>
  <si>
    <t>面接日</t>
  </si>
  <si>
    <t>面接NG理由</t>
  </si>
  <si>
    <t>採用</t>
  </si>
  <si>
    <t>入社予定日</t>
  </si>
  <si>
    <t>承諾状況</t>
  </si>
  <si>
    <t>内定通知</t>
  </si>
  <si>
    <t>NRT</t>
  </si>
  <si>
    <t>日高 秀光</t>
  </si>
  <si>
    <t>不通過</t>
  </si>
  <si>
    <t xml:space="preserve"> </t>
  </si>
  <si>
    <t>未設定</t>
  </si>
  <si>
    <t>不採用</t>
  </si>
  <si>
    <t>浅利 真弓</t>
  </si>
  <si>
    <t>無職</t>
  </si>
  <si>
    <t>浅木 洋二</t>
  </si>
  <si>
    <t>佐伯 幸男</t>
  </si>
  <si>
    <t>アルバイト</t>
  </si>
  <si>
    <t>町田 侑里夏</t>
  </si>
  <si>
    <t>大学生</t>
  </si>
  <si>
    <t>通過</t>
  </si>
  <si>
    <t>面接実施済み</t>
  </si>
  <si>
    <t>接客適性</t>
  </si>
  <si>
    <t>７日間の研修参加が難しい。</t>
  </si>
  <si>
    <t>三木 祐樹</t>
  </si>
  <si>
    <t>金澤 拓也</t>
  </si>
  <si>
    <t>面接日確定</t>
  </si>
  <si>
    <t>選考中</t>
  </si>
  <si>
    <t>8/12WEB面接予定</t>
  </si>
  <si>
    <t>NGUYEN NGOC DINH</t>
  </si>
  <si>
    <t>日本語力</t>
  </si>
  <si>
    <t>N3</t>
  </si>
  <si>
    <t>Hashini Navodya</t>
  </si>
  <si>
    <t>CTS同時応募</t>
  </si>
  <si>
    <t>JARGALBAYAR ENKHBAYAN</t>
  </si>
  <si>
    <t>坂本 隼斗</t>
  </si>
  <si>
    <t>確認中</t>
  </si>
  <si>
    <t>履歴書依頼中</t>
  </si>
  <si>
    <t>CTS</t>
  </si>
  <si>
    <t>NRT同時応募</t>
  </si>
  <si>
    <t>竹内 愛</t>
  </si>
  <si>
    <t>高砂 琴音</t>
  </si>
  <si>
    <t>高校生（外航GATE経験者の可能性あり）</t>
  </si>
  <si>
    <t>星山 瑠衣</t>
  </si>
  <si>
    <t>8/10WEB面接予定</t>
  </si>
  <si>
    <t>石塚　亜也</t>
  </si>
  <si>
    <t>ナリタjobポート木村さん経由</t>
  </si>
  <si>
    <t>小瀧　紅</t>
  </si>
  <si>
    <t>パート</t>
  </si>
  <si>
    <t>椎名　睦季</t>
  </si>
  <si>
    <t>関　恵実</t>
  </si>
  <si>
    <t>山田　伸</t>
  </si>
  <si>
    <t>マスタ（プルダウン用リスト）</t>
  </si>
  <si>
    <t>未対応</t>
  </si>
  <si>
    <t>勤務条件不一致</t>
  </si>
  <si>
    <t>有</t>
  </si>
  <si>
    <t>承諾済み</t>
  </si>
  <si>
    <t>未</t>
  </si>
  <si>
    <t>通勤距離</t>
  </si>
  <si>
    <t>面接調整中</t>
  </si>
  <si>
    <t>シフト条件不一致</t>
  </si>
  <si>
    <t>無</t>
  </si>
  <si>
    <t>辞退</t>
  </si>
  <si>
    <t>済</t>
  </si>
  <si>
    <t>経験不足</t>
  </si>
  <si>
    <t>保留</t>
  </si>
  <si>
    <t>採用辞退</t>
  </si>
  <si>
    <t>英語力</t>
  </si>
  <si>
    <t>コミュニケーション</t>
  </si>
  <si>
    <t>入社予定</t>
  </si>
  <si>
    <t>高校生</t>
  </si>
  <si>
    <t>勤務時間不一致</t>
  </si>
  <si>
    <t>入社辞退</t>
  </si>
  <si>
    <t>Indeed</t>
  </si>
  <si>
    <t>連絡不通</t>
  </si>
  <si>
    <t>ハローワーク</t>
  </si>
  <si>
    <t>航空保安上の要件</t>
  </si>
  <si>
    <t>通勤困難</t>
  </si>
  <si>
    <t>給与条件不一致</t>
  </si>
  <si>
    <t>入社可能時期が合わない</t>
  </si>
  <si>
    <t>他社内定</t>
  </si>
  <si>
    <t>本人辞退</t>
  </si>
  <si>
    <t>総合判断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</si>
</sst>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"/>
    <numFmt numFmtId="177" formatCode="0.0%"/>
    <numFmt numFmtId="178" formatCode="\+#,##0;\-#,##0;0"/>
  </numFmts>
  <fonts count="26">
    <font>
      <sz val="11"/>
      <color theme="1"/>
      <name val="ＭＳ Ｐゴシック"/>
      <family val="2"/>
      <scheme val="minor"/>
    </font>
    <font>
      <b/>
      <sz val="13"/>
      <color rgb="FF2E5496"/>
      <name val="Meiryo"/>
      <family val="3"/>
      <charset val="128"/>
    </font>
    <font>
      <b/>
      <sz val="11"/>
      <color rgb="FFFFFFFF"/>
      <name val="Meiryo"/>
      <family val="3"/>
      <charset val="128"/>
    </font>
    <font>
      <sz val="10"/>
      <color rgb="FF1A1A1A"/>
      <name val="Meiryo"/>
      <family val="3"/>
      <charset val="128"/>
    </font>
    <font>
      <b/>
      <sz val="12"/>
      <color rgb="FFFFFFFF"/>
      <name val="Meiryo"/>
      <family val="3"/>
      <charset val="128"/>
    </font>
    <font>
      <b/>
      <sz val="10"/>
      <color rgb="FFFFFFFF"/>
      <name val="Meiryo"/>
      <family val="3"/>
      <charset val="128"/>
    </font>
    <font>
      <i/>
      <sz val="9"/>
      <color rgb="FF808080"/>
      <name val="Meiryo"/>
      <family val="3"/>
      <charset val="128"/>
    </font>
    <font>
      <i/>
      <sz val="10"/>
      <color rgb="FF808080"/>
      <name val="Meiryo"/>
      <family val="3"/>
      <charset val="128"/>
    </font>
    <font>
      <b/>
      <sz val="10"/>
      <color rgb="FF1A1A1A"/>
      <name val="Meiryo"/>
      <family val="3"/>
      <charset val="128"/>
    </font>
    <font>
      <b/>
      <sz val="18"/>
      <color rgb="FFFFFFFF"/>
      <name val="Meiryo"/>
      <family val="3"/>
      <charset val="128"/>
    </font>
    <font>
      <sz val="10"/>
      <color rgb="FFFFFFFF"/>
      <name val="Meiryo"/>
      <family val="3"/>
      <charset val="128"/>
    </font>
    <font>
      <b/>
      <sz val="11"/>
      <color rgb="FF1A1A1A"/>
      <name val="Meiryo"/>
      <family val="3"/>
      <charset val="128"/>
    </font>
    <font>
      <b/>
      <sz val="11"/>
      <color rgb="FF0000FF"/>
      <name val="Meiryo"/>
      <family val="3"/>
      <charset val="128"/>
    </font>
    <font>
      <sz val="9"/>
      <color rgb="FF808080"/>
      <name val="Meiryo"/>
      <family val="3"/>
      <charset val="128"/>
    </font>
    <font>
      <sz val="11"/>
      <color rgb="FF1A1A1A"/>
      <name val="Meiryo"/>
      <family val="3"/>
      <charset val="128"/>
    </font>
    <font>
      <b/>
      <sz val="11"/>
      <color rgb="FF2E5496"/>
      <name val="Meiryo"/>
      <family val="3"/>
      <charset val="128"/>
    </font>
    <font>
      <b/>
      <sz val="10"/>
      <color rgb="FF2E5496"/>
      <name val="Meiryo"/>
      <family val="3"/>
      <charset val="128"/>
    </font>
    <font>
      <b/>
      <sz val="22"/>
      <color rgb="FF1F3864"/>
      <name val="Meiryo"/>
      <family val="3"/>
      <charset val="128"/>
    </font>
    <font>
      <b/>
      <sz val="9"/>
      <color rgb="FFFFFFFF"/>
      <name val="Meiryo"/>
      <family val="3"/>
      <charset val="128"/>
    </font>
    <font>
      <sz val="9"/>
      <color rgb="FF1A1A1A"/>
      <name val="Meiryo"/>
      <family val="3"/>
      <charset val="128"/>
    </font>
    <font>
      <b/>
      <sz val="9"/>
      <color rgb="FF1A1A1A"/>
      <name val="Meiryo"/>
      <family val="3"/>
      <charset val="128"/>
    </font>
    <font>
      <sz val="10"/>
      <color rgb="FF0000FF"/>
      <name val="Meiryo"/>
      <family val="3"/>
      <charset val="128"/>
    </font>
    <font>
      <sz val="11"/>
      <color rgb="FF000000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0"/>
      <color rgb="FF000000"/>
      <name val="Meiryo"/>
      <family val="3"/>
      <charset val="128"/>
    </font>
    <font>
      <sz val="11"/>
      <color rgb="FF000000"/>
      <name val="ＭＳ Ｐゴシック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E5496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548235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808080"/>
      </patternFill>
    </fill>
    <fill>
      <patternFill patternType="solid">
        <fgColor rgb="FFF2F2F2"/>
        <bgColor rgb="FF000000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1" xfId="0" applyBorder="1"/>
    <xf numFmtId="0" fontId="5" fillId="8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9" fontId="19" fillId="0" borderId="1" xfId="0" applyNumberFormat="1" applyFont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9" fontId="12" fillId="7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177" fontId="15" fillId="0" borderId="1" xfId="0" applyNumberFormat="1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177" fontId="5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176" fontId="0" fillId="0" borderId="1" xfId="0" applyNumberFormat="1" applyBorder="1"/>
    <xf numFmtId="176" fontId="3" fillId="0" borderId="1" xfId="0" applyNumberFormat="1" applyFont="1" applyBorder="1" applyAlignment="1">
      <alignment horizontal="center"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14" fontId="22" fillId="0" borderId="1" xfId="0" applyNumberFormat="1" applyFont="1" applyBorder="1"/>
    <xf numFmtId="0" fontId="22" fillId="0" borderId="1" xfId="0" applyFont="1" applyBorder="1"/>
    <xf numFmtId="0" fontId="7" fillId="9" borderId="1" xfId="0" applyFont="1" applyFill="1" applyBorder="1" applyAlignment="1">
      <alignment horizontal="left" vertical="center" wrapText="1"/>
    </xf>
    <xf numFmtId="0" fontId="24" fillId="0" borderId="0" xfId="0" applyFont="1" applyAlignment="1">
      <alignment horizontal="center" vertical="center" wrapText="1"/>
    </xf>
    <xf numFmtId="0" fontId="0" fillId="0" borderId="5" xfId="0" applyBorder="1"/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76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24" fillId="0" borderId="5" xfId="0" applyFont="1" applyBorder="1" applyAlignment="1">
      <alignment horizontal="center" vertical="center" wrapText="1"/>
    </xf>
    <xf numFmtId="176" fontId="24" fillId="0" borderId="5" xfId="0" applyNumberFormat="1" applyFont="1" applyBorder="1" applyAlignment="1">
      <alignment horizontal="center" vertical="center" wrapText="1"/>
    </xf>
    <xf numFmtId="0" fontId="24" fillId="0" borderId="5" xfId="0" applyFont="1" applyBorder="1" applyAlignment="1">
      <alignment horizontal="left" vertical="center" wrapText="1"/>
    </xf>
    <xf numFmtId="0" fontId="25" fillId="0" borderId="5" xfId="0" applyFont="1" applyBorder="1"/>
    <xf numFmtId="0" fontId="3" fillId="0" borderId="7" xfId="0" applyFont="1" applyBorder="1" applyAlignment="1">
      <alignment horizontal="center" vertical="center" wrapText="1"/>
    </xf>
    <xf numFmtId="176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9" fillId="3" borderId="0" xfId="0" applyFont="1" applyFill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2" borderId="0" xfId="0" applyFont="1" applyFill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right" vertical="center"/>
    </xf>
    <xf numFmtId="0" fontId="21" fillId="7" borderId="2" xfId="0" applyFont="1" applyFill="1" applyBorder="1" applyAlignment="1">
      <alignment horizontal="left" vertical="top" wrapText="1"/>
    </xf>
    <xf numFmtId="0" fontId="21" fillId="7" borderId="0" xfId="0" applyFont="1" applyFill="1" applyAlignment="1">
      <alignment horizontal="left" vertical="top" wrapText="1"/>
    </xf>
    <xf numFmtId="177" fontId="3" fillId="0" borderId="1" xfId="0" applyNumberFormat="1" applyFont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3" fillId="0" borderId="0" xfId="0" applyFont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6" fillId="0" borderId="0" xfId="0" applyFont="1"/>
    <xf numFmtId="0" fontId="10" fillId="2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5" borderId="0" xfId="0" applyFont="1" applyFill="1" applyAlignment="1">
      <alignment horizontal="center" vertical="center" wrapText="1"/>
    </xf>
    <xf numFmtId="0" fontId="8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</cellXfs>
  <cellStyles count="1">
    <cellStyle name="標準" xfId="0" builtinId="0"/>
  </cellStyles>
  <dxfs count="13">
    <dxf>
      <font>
        <b/>
        <color rgb="FF9C0006"/>
        <name val="Meiryo"/>
      </font>
      <fill>
        <patternFill patternType="solid">
          <fgColor rgb="FFFFC7CE"/>
        </patternFill>
      </fill>
    </dxf>
    <dxf>
      <font>
        <b/>
        <color rgb="FF006100"/>
        <name val="Meiryo"/>
      </font>
      <fill>
        <patternFill patternType="solid">
          <fgColor rgb="FFC6EFCE"/>
        </patternFill>
      </fill>
    </dxf>
    <dxf>
      <font>
        <color rgb="FF9C0006"/>
        <name val="Meiryo"/>
      </font>
      <fill>
        <patternFill patternType="solid">
          <fgColor rgb="FFFFC7CE"/>
        </patternFill>
      </fill>
    </dxf>
    <dxf>
      <font>
        <color rgb="FF9C6500"/>
        <name val="Meiryo"/>
      </font>
      <fill>
        <patternFill patternType="solid">
          <fgColor rgb="FFFFEB9C"/>
        </patternFill>
      </fill>
    </dxf>
    <dxf>
      <font>
        <b/>
        <color rgb="FF006100"/>
        <name val="Meiryo"/>
      </font>
      <fill>
        <patternFill patternType="solid">
          <fgColor rgb="FFC6EFCE"/>
        </patternFill>
      </fill>
    </dxf>
    <dxf>
      <font>
        <color rgb="FF9C0006"/>
        <name val="Meiryo"/>
      </font>
      <fill>
        <patternFill patternType="solid">
          <fgColor rgb="FFFFC7CE"/>
        </patternFill>
      </fill>
    </dxf>
    <dxf>
      <font>
        <color rgb="FF9C6500"/>
        <name val="Meiryo"/>
      </font>
      <fill>
        <patternFill patternType="solid">
          <fgColor rgb="FFFFEB9C"/>
        </patternFill>
      </fill>
    </dxf>
    <dxf>
      <font>
        <b/>
        <color rgb="FF006100"/>
        <name val="Meiryo"/>
      </font>
      <fill>
        <patternFill patternType="solid">
          <fgColor rgb="FFC6EFCE"/>
        </patternFill>
      </fill>
    </dxf>
    <dxf>
      <font>
        <b/>
        <color rgb="FF9C0006"/>
        <name val="Meiryo"/>
      </font>
      <fill>
        <patternFill patternType="solid">
          <fgColor rgb="FFFFC7CE"/>
        </patternFill>
      </fill>
    </dxf>
    <dxf>
      <font>
        <b/>
        <color rgb="FF006100"/>
        <name val="Meiryo"/>
      </font>
      <fill>
        <patternFill patternType="solid">
          <fgColor rgb="FFC6EFCE"/>
        </patternFill>
      </fill>
    </dxf>
    <dxf>
      <font>
        <color rgb="FF9C0006"/>
        <name val="Meiryo"/>
      </font>
      <fill>
        <patternFill patternType="solid">
          <fgColor rgb="FFFFC7CE"/>
        </patternFill>
      </fill>
    </dxf>
    <dxf>
      <font>
        <color rgb="FF9C6500"/>
        <name val="Meiryo"/>
      </font>
      <fill>
        <patternFill patternType="solid">
          <fgColor rgb="FFFFEB9C"/>
        </patternFill>
      </fill>
    </dxf>
    <dxf>
      <font>
        <b/>
        <color rgb="FF006100"/>
        <name val="Meiryo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ja-JP" altLang="en-US"/>
              <a:t>採用ファネル（実績）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KPIダッシュボード!$B$11:$B$16</c:f>
              <c:strCache>
                <c:ptCount val="6"/>
                <c:pt idx="0">
                  <c:v>応募数</c:v>
                </c:pt>
                <c:pt idx="1">
                  <c:v>書類通過</c:v>
                </c:pt>
                <c:pt idx="2">
                  <c:v>面接設定</c:v>
                </c:pt>
                <c:pt idx="3">
                  <c:v>面接実施</c:v>
                </c:pt>
                <c:pt idx="4">
                  <c:v>内定</c:v>
                </c:pt>
                <c:pt idx="5">
                  <c:v>承諾</c:v>
                </c:pt>
              </c:strCache>
            </c:strRef>
          </c:cat>
          <c:val>
            <c:numRef>
              <c:f>KPIダッシュボード!$D$11:$D$16</c:f>
              <c:numCache>
                <c:formatCode>General</c:formatCode>
                <c:ptCount val="6"/>
                <c:pt idx="0">
                  <c:v>20</c:v>
                </c:pt>
                <c:pt idx="1">
                  <c:v>4</c:v>
                </c:pt>
                <c:pt idx="2">
                  <c:v>4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0-48EB-A8EB-7DBDD346338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ja-JP" altLang="en-US"/>
              <a:t>媒体別 応募数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KPIダッシュボード!$C$27</c:f>
              <c:strCache>
                <c:ptCount val="1"/>
                <c:pt idx="0">
                  <c:v>応募数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KPIダッシュボード!$B$28:$B$33</c:f>
              <c:strCache>
                <c:ptCount val="6"/>
                <c:pt idx="0">
                  <c:v>バイトル</c:v>
                </c:pt>
                <c:pt idx="1">
                  <c:v>マイナビバイト</c:v>
                </c:pt>
                <c:pt idx="2">
                  <c:v>ちゃんと</c:v>
                </c:pt>
                <c:pt idx="3">
                  <c:v>社員紹介</c:v>
                </c:pt>
                <c:pt idx="4">
                  <c:v>HP</c:v>
                </c:pt>
                <c:pt idx="5">
                  <c:v>ナリタjobサポート</c:v>
                </c:pt>
              </c:strCache>
            </c:strRef>
          </c:cat>
          <c:val>
            <c:numRef>
              <c:f>KPIダッシュボード!$C$28:$C$33</c:f>
              <c:numCache>
                <c:formatCode>General</c:formatCode>
                <c:ptCount val="6"/>
                <c:pt idx="0">
                  <c:v>16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6-4738-B553-91C9540B391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ja-JP" altLang="en-US"/>
              <a:t>推移（日次）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日次レポート!$B$3</c:f>
              <c:strCache>
                <c:ptCount val="1"/>
                <c:pt idx="0">
                  <c:v>応募数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日次レポート!$A$4:$A$16</c:f>
              <c:numCache>
                <c:formatCode>m/d/yyyy</c:formatCode>
                <c:ptCount val="13"/>
                <c:pt idx="0">
                  <c:v>46230</c:v>
                </c:pt>
                <c:pt idx="1">
                  <c:v>46231</c:v>
                </c:pt>
                <c:pt idx="2">
                  <c:v>46232</c:v>
                </c:pt>
                <c:pt idx="3">
                  <c:v>46233</c:v>
                </c:pt>
                <c:pt idx="4">
                  <c:v>46234</c:v>
                </c:pt>
                <c:pt idx="5">
                  <c:v>46235</c:v>
                </c:pt>
                <c:pt idx="6">
                  <c:v>46236</c:v>
                </c:pt>
                <c:pt idx="7">
                  <c:v>46237</c:v>
                </c:pt>
                <c:pt idx="8">
                  <c:v>46238</c:v>
                </c:pt>
                <c:pt idx="9">
                  <c:v>46239</c:v>
                </c:pt>
                <c:pt idx="10">
                  <c:v>46240</c:v>
                </c:pt>
              </c:numCache>
            </c:numRef>
          </c:cat>
          <c:val>
            <c:numRef>
              <c:f>日次レポート!$B$4:$B$16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7BB-4226-B39C-456BBDC051A2}"/>
            </c:ext>
          </c:extLst>
        </c:ser>
        <c:ser>
          <c:idx val="1"/>
          <c:order val="1"/>
          <c:tx>
            <c:strRef>
              <c:f>日次レポート!$C$3</c:f>
              <c:strCache>
                <c:ptCount val="1"/>
                <c:pt idx="0">
                  <c:v>書類通過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日次レポート!$A$4:$A$16</c:f>
              <c:numCache>
                <c:formatCode>m/d/yyyy</c:formatCode>
                <c:ptCount val="13"/>
                <c:pt idx="0">
                  <c:v>46230</c:v>
                </c:pt>
                <c:pt idx="1">
                  <c:v>46231</c:v>
                </c:pt>
                <c:pt idx="2">
                  <c:v>46232</c:v>
                </c:pt>
                <c:pt idx="3">
                  <c:v>46233</c:v>
                </c:pt>
                <c:pt idx="4">
                  <c:v>46234</c:v>
                </c:pt>
                <c:pt idx="5">
                  <c:v>46235</c:v>
                </c:pt>
                <c:pt idx="6">
                  <c:v>46236</c:v>
                </c:pt>
                <c:pt idx="7">
                  <c:v>46237</c:v>
                </c:pt>
                <c:pt idx="8">
                  <c:v>46238</c:v>
                </c:pt>
                <c:pt idx="9">
                  <c:v>46239</c:v>
                </c:pt>
                <c:pt idx="10">
                  <c:v>46240</c:v>
                </c:pt>
              </c:numCache>
            </c:numRef>
          </c:cat>
          <c:val>
            <c:numRef>
              <c:f>日次レポート!$C$4:$C$16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7BB-4226-B39C-456BBDC051A2}"/>
            </c:ext>
          </c:extLst>
        </c:ser>
        <c:ser>
          <c:idx val="2"/>
          <c:order val="2"/>
          <c:tx>
            <c:strRef>
              <c:f>日次レポート!$D$3</c:f>
              <c:strCache>
                <c:ptCount val="1"/>
                <c:pt idx="0">
                  <c:v>面接設定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日次レポート!$A$4:$A$16</c:f>
              <c:numCache>
                <c:formatCode>m/d/yyyy</c:formatCode>
                <c:ptCount val="13"/>
                <c:pt idx="0">
                  <c:v>46230</c:v>
                </c:pt>
                <c:pt idx="1">
                  <c:v>46231</c:v>
                </c:pt>
                <c:pt idx="2">
                  <c:v>46232</c:v>
                </c:pt>
                <c:pt idx="3">
                  <c:v>46233</c:v>
                </c:pt>
                <c:pt idx="4">
                  <c:v>46234</c:v>
                </c:pt>
                <c:pt idx="5">
                  <c:v>46235</c:v>
                </c:pt>
                <c:pt idx="6">
                  <c:v>46236</c:v>
                </c:pt>
                <c:pt idx="7">
                  <c:v>46237</c:v>
                </c:pt>
                <c:pt idx="8">
                  <c:v>46238</c:v>
                </c:pt>
                <c:pt idx="9">
                  <c:v>46239</c:v>
                </c:pt>
                <c:pt idx="10">
                  <c:v>46240</c:v>
                </c:pt>
              </c:numCache>
            </c:numRef>
          </c:cat>
          <c:val>
            <c:numRef>
              <c:f>日次レポート!$D$4:$D$16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7BB-4226-B39C-456BBDC051A2}"/>
            </c:ext>
          </c:extLst>
        </c:ser>
        <c:ser>
          <c:idx val="3"/>
          <c:order val="3"/>
          <c:tx>
            <c:strRef>
              <c:f>日次レポート!$E$3</c:f>
              <c:strCache>
                <c:ptCount val="1"/>
                <c:pt idx="0">
                  <c:v>面接実施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日次レポート!$A$4:$A$16</c:f>
              <c:numCache>
                <c:formatCode>m/d/yyyy</c:formatCode>
                <c:ptCount val="13"/>
                <c:pt idx="0">
                  <c:v>46230</c:v>
                </c:pt>
                <c:pt idx="1">
                  <c:v>46231</c:v>
                </c:pt>
                <c:pt idx="2">
                  <c:v>46232</c:v>
                </c:pt>
                <c:pt idx="3">
                  <c:v>46233</c:v>
                </c:pt>
                <c:pt idx="4">
                  <c:v>46234</c:v>
                </c:pt>
                <c:pt idx="5">
                  <c:v>46235</c:v>
                </c:pt>
                <c:pt idx="6">
                  <c:v>46236</c:v>
                </c:pt>
                <c:pt idx="7">
                  <c:v>46237</c:v>
                </c:pt>
                <c:pt idx="8">
                  <c:v>46238</c:v>
                </c:pt>
                <c:pt idx="9">
                  <c:v>46239</c:v>
                </c:pt>
                <c:pt idx="10">
                  <c:v>46240</c:v>
                </c:pt>
              </c:numCache>
            </c:numRef>
          </c:cat>
          <c:val>
            <c:numRef>
              <c:f>日次レポート!$E$4:$E$16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7BB-4226-B39C-456BBDC051A2}"/>
            </c:ext>
          </c:extLst>
        </c:ser>
        <c:ser>
          <c:idx val="4"/>
          <c:order val="4"/>
          <c:tx>
            <c:strRef>
              <c:f>日次レポート!$F$3</c:f>
              <c:strCache>
                <c:ptCount val="1"/>
                <c:pt idx="0">
                  <c:v>内定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日次レポート!$A$4:$A$16</c:f>
              <c:numCache>
                <c:formatCode>m/d/yyyy</c:formatCode>
                <c:ptCount val="13"/>
                <c:pt idx="0">
                  <c:v>46230</c:v>
                </c:pt>
                <c:pt idx="1">
                  <c:v>46231</c:v>
                </c:pt>
                <c:pt idx="2">
                  <c:v>46232</c:v>
                </c:pt>
                <c:pt idx="3">
                  <c:v>46233</c:v>
                </c:pt>
                <c:pt idx="4">
                  <c:v>46234</c:v>
                </c:pt>
                <c:pt idx="5">
                  <c:v>46235</c:v>
                </c:pt>
                <c:pt idx="6">
                  <c:v>46236</c:v>
                </c:pt>
                <c:pt idx="7">
                  <c:v>46237</c:v>
                </c:pt>
                <c:pt idx="8">
                  <c:v>46238</c:v>
                </c:pt>
                <c:pt idx="9">
                  <c:v>46239</c:v>
                </c:pt>
                <c:pt idx="10">
                  <c:v>46240</c:v>
                </c:pt>
              </c:numCache>
            </c:numRef>
          </c:cat>
          <c:val>
            <c:numRef>
              <c:f>日次レポート!$F$4:$F$16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7BB-4226-B39C-456BBDC051A2}"/>
            </c:ext>
          </c:extLst>
        </c:ser>
        <c:ser>
          <c:idx val="5"/>
          <c:order val="5"/>
          <c:tx>
            <c:strRef>
              <c:f>日次レポート!$G$3</c:f>
              <c:strCache>
                <c:ptCount val="1"/>
                <c:pt idx="0">
                  <c:v>承諾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日次レポート!$A$4:$A$16</c:f>
              <c:numCache>
                <c:formatCode>m/d/yyyy</c:formatCode>
                <c:ptCount val="13"/>
                <c:pt idx="0">
                  <c:v>46230</c:v>
                </c:pt>
                <c:pt idx="1">
                  <c:v>46231</c:v>
                </c:pt>
                <c:pt idx="2">
                  <c:v>46232</c:v>
                </c:pt>
                <c:pt idx="3">
                  <c:v>46233</c:v>
                </c:pt>
                <c:pt idx="4">
                  <c:v>46234</c:v>
                </c:pt>
                <c:pt idx="5">
                  <c:v>46235</c:v>
                </c:pt>
                <c:pt idx="6">
                  <c:v>46236</c:v>
                </c:pt>
                <c:pt idx="7">
                  <c:v>46237</c:v>
                </c:pt>
                <c:pt idx="8">
                  <c:v>46238</c:v>
                </c:pt>
                <c:pt idx="9">
                  <c:v>46239</c:v>
                </c:pt>
                <c:pt idx="10">
                  <c:v>46240</c:v>
                </c:pt>
              </c:numCache>
            </c:numRef>
          </c:cat>
          <c:val>
            <c:numRef>
              <c:f>日次レポート!$G$4:$G$16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7BB-4226-B39C-456BBDC05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/d/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ja-JP" altLang="en-US"/>
              <a:t>年齢分布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KPIダッシュボード!$B$73:$B$78</c:f>
              <c:strCache>
                <c:ptCount val="6"/>
                <c:pt idx="0">
                  <c:v>〜19歳</c:v>
                </c:pt>
                <c:pt idx="1">
                  <c:v>20代</c:v>
                </c:pt>
                <c:pt idx="2">
                  <c:v>30代</c:v>
                </c:pt>
                <c:pt idx="3">
                  <c:v>40代</c:v>
                </c:pt>
                <c:pt idx="4">
                  <c:v>50代</c:v>
                </c:pt>
                <c:pt idx="5">
                  <c:v>60歳〜</c:v>
                </c:pt>
              </c:strCache>
            </c:strRef>
          </c:cat>
          <c:val>
            <c:numRef>
              <c:f>KPIダッシュボード!$C$72:$C$78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8-4B99-A9F3-EC040369EE9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36</xdr:row>
      <xdr:rowOff>0</xdr:rowOff>
    </xdr:from>
    <xdr:ext cx="432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52</xdr:row>
      <xdr:rowOff>0</xdr:rowOff>
    </xdr:from>
    <xdr:ext cx="432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  <a:ext uri="{147F2762-F138-4A5C-976F-8EAC2B608ADB}">
              <a16:predDERef xmlns:a16="http://schemas.microsoft.com/office/drawing/2014/main" pre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B1:H71"/>
  <sheetViews>
    <sheetView showGridLines="0" tabSelected="1" workbookViewId="0">
      <selection activeCell="B60" sqref="B60"/>
    </sheetView>
  </sheetViews>
  <sheetFormatPr defaultRowHeight="13.2"/>
  <cols>
    <col min="1" max="1" width="2" customWidth="1"/>
    <col min="2" max="2" width="22" customWidth="1"/>
    <col min="3" max="3" width="24" customWidth="1"/>
    <col min="4" max="4" width="14" customWidth="1"/>
    <col min="5" max="5" width="22" customWidth="1"/>
    <col min="6" max="6" width="12" customWidth="1"/>
    <col min="7" max="7" width="13" customWidth="1"/>
  </cols>
  <sheetData>
    <row r="1" spans="2:7" ht="31.95" customHeight="1">
      <c r="B1" s="52" t="s">
        <v>0</v>
      </c>
      <c r="C1" s="51"/>
      <c r="D1" s="51"/>
      <c r="E1" s="51"/>
      <c r="F1" s="51"/>
      <c r="G1" s="51"/>
    </row>
    <row r="2" spans="2:7" ht="18" customHeight="1">
      <c r="B2" s="50" t="str">
        <f>"報告日：" &amp; TEXT(MAX(日次レポート!$A$4:$A$200),"yyyy年m月d日") &amp; "　｜　短時間勤務者（成田NRT・千歳CTS）　｜　宛先：社長"</f>
        <v>報告日：2026年8月6日　｜　短時間勤務者（成田NRT・千歳CTS）　｜　宛先：社長</v>
      </c>
      <c r="C2" s="51"/>
      <c r="D2" s="51"/>
      <c r="E2" s="51"/>
      <c r="F2" s="51"/>
      <c r="G2" s="51"/>
    </row>
    <row r="3" spans="2:7" ht="15">
      <c r="B3" s="58" t="s">
        <v>1</v>
      </c>
      <c r="C3" s="51"/>
      <c r="D3" s="51"/>
      <c r="E3" s="51"/>
      <c r="F3" s="51"/>
      <c r="G3" s="51"/>
    </row>
    <row r="5" spans="2:7">
      <c r="B5" s="56" t="s">
        <v>2</v>
      </c>
      <c r="C5" s="54"/>
      <c r="D5" s="56" t="s">
        <v>3</v>
      </c>
      <c r="E5" s="54"/>
      <c r="F5" s="56" t="s">
        <v>4</v>
      </c>
      <c r="G5" s="54"/>
    </row>
    <row r="6" spans="2:7" ht="25.95" customHeight="1">
      <c r="B6" s="53" t="str">
        <f>KPIダッシュボード!D16&amp;" / "&amp;KPIダッシュボード!C16&amp;" 名"</f>
        <v>0 / 20 名</v>
      </c>
      <c r="C6" s="54"/>
      <c r="D6" s="53" t="str">
        <f>KPIダッシュボード!D11&amp;" 名"</f>
        <v>20 名</v>
      </c>
      <c r="E6" s="54"/>
      <c r="F6" s="53" t="str">
        <f>KPIダッシュボード!D14&amp;" 名"</f>
        <v>1 名</v>
      </c>
      <c r="G6" s="54"/>
    </row>
    <row r="7" spans="2:7">
      <c r="B7" s="51"/>
      <c r="C7" s="51"/>
      <c r="D7" s="51"/>
      <c r="E7" s="51"/>
      <c r="F7" s="51"/>
      <c r="G7" s="51"/>
    </row>
    <row r="8" spans="2:7" ht="26.25" customHeight="1">
      <c r="B8" s="57" t="str">
        <f>" 達成率 "&amp;TEXT(KPIダッシュボード!E16,"0.0%")&amp;"　前日比 "&amp;TEXT(KPIダッシュボード!G16,"+0;-0;0")</f>
        <v xml:space="preserve"> 達成率 0.0%　前日比 0</v>
      </c>
      <c r="C8" s="54"/>
      <c r="D8" s="57" t="str">
        <f>" 目標 "&amp;KPIダッシュボード!C11&amp;"　達成率 "&amp;TEXT(KPIダッシュボード!E11,"0.0%")&amp;"　前日比 "&amp;TEXT(KPIダッシュボード!G11,"+0;-0;0")</f>
        <v xml:space="preserve"> 目標 144　達成率 13.9%　前日比 +19</v>
      </c>
      <c r="E8" s="54"/>
      <c r="F8" s="57" t="str">
        <f>" 目標 "&amp;KPIダッシュボード!C14&amp;"　前日比 "&amp;TEXT(KPIダッシュボード!G14,"+0;-0;0")</f>
        <v xml:space="preserve"> 目標 42　前日比 +1</v>
      </c>
      <c r="G8" s="54"/>
    </row>
    <row r="10" spans="2:7" ht="19.95" customHeight="1">
      <c r="B10" s="55" t="s">
        <v>5</v>
      </c>
      <c r="C10" s="51"/>
      <c r="D10" s="51"/>
      <c r="E10" s="51"/>
      <c r="F10" s="51"/>
      <c r="G10" s="51"/>
    </row>
    <row r="11" spans="2:7" ht="16.2">
      <c r="B11" s="2" t="s">
        <v>6</v>
      </c>
      <c r="C11" s="2" t="s">
        <v>7</v>
      </c>
      <c r="D11" s="2" t="s">
        <v>8</v>
      </c>
      <c r="E11" s="2" t="s">
        <v>9</v>
      </c>
      <c r="F11" s="2" t="s">
        <v>10</v>
      </c>
    </row>
    <row r="12" spans="2:7" ht="16.2">
      <c r="B12" s="3" t="s">
        <v>11</v>
      </c>
      <c r="C12" s="4">
        <f>KPIダッシュボード!C11</f>
        <v>144</v>
      </c>
      <c r="D12" s="5">
        <f>KPIダッシュボード!D11</f>
        <v>20</v>
      </c>
      <c r="E12" s="6">
        <f>KPIダッシュボード!E11</f>
        <v>0.1388888888888889</v>
      </c>
      <c r="F12" s="7">
        <f>KPIダッシュボード!G11</f>
        <v>19</v>
      </c>
    </row>
    <row r="13" spans="2:7" ht="16.2">
      <c r="B13" s="3" t="s">
        <v>12</v>
      </c>
      <c r="C13" s="4">
        <f>KPIダッシュボード!C12</f>
        <v>72</v>
      </c>
      <c r="D13" s="5">
        <f>KPIダッシュボード!D12</f>
        <v>4</v>
      </c>
      <c r="E13" s="6">
        <f>KPIダッシュボード!E12</f>
        <v>5.5555555555555552E-2</v>
      </c>
      <c r="F13" s="7">
        <f>KPIダッシュボード!G12</f>
        <v>4</v>
      </c>
    </row>
    <row r="14" spans="2:7" ht="16.2">
      <c r="B14" s="3" t="s">
        <v>13</v>
      </c>
      <c r="C14" s="4">
        <f>KPIダッシュボード!C13</f>
        <v>50</v>
      </c>
      <c r="D14" s="5">
        <f>KPIダッシュボード!D13</f>
        <v>4</v>
      </c>
      <c r="E14" s="6">
        <f>KPIダッシュボード!E13</f>
        <v>0.08</v>
      </c>
      <c r="F14" s="7">
        <f>KPIダッシュボード!G13</f>
        <v>4</v>
      </c>
    </row>
    <row r="15" spans="2:7" ht="16.2">
      <c r="B15" s="3" t="s">
        <v>14</v>
      </c>
      <c r="C15" s="4">
        <f>KPIダッシュボード!C14</f>
        <v>42</v>
      </c>
      <c r="D15" s="5">
        <f>KPIダッシュボード!D14</f>
        <v>1</v>
      </c>
      <c r="E15" s="6">
        <f>KPIダッシュボード!E14</f>
        <v>2.3809523809523808E-2</v>
      </c>
      <c r="F15" s="7">
        <f>KPIダッシュボード!G14</f>
        <v>1</v>
      </c>
    </row>
    <row r="16" spans="2:7" ht="16.2">
      <c r="B16" s="3" t="s">
        <v>15</v>
      </c>
      <c r="C16" s="4">
        <f>KPIダッシュボード!C15</f>
        <v>25</v>
      </c>
      <c r="D16" s="5">
        <f>KPIダッシュボード!D15</f>
        <v>0</v>
      </c>
      <c r="E16" s="6">
        <f>KPIダッシュボード!E15</f>
        <v>0</v>
      </c>
      <c r="F16" s="7">
        <f>KPIダッシュボード!G15</f>
        <v>0</v>
      </c>
    </row>
    <row r="17" spans="2:7" ht="16.2">
      <c r="B17" s="3" t="s">
        <v>16</v>
      </c>
      <c r="C17" s="4">
        <f>KPIダッシュボード!C16</f>
        <v>20</v>
      </c>
      <c r="D17" s="5">
        <f>KPIダッシュボード!D16</f>
        <v>0</v>
      </c>
      <c r="E17" s="6">
        <f>KPIダッシュボード!E16</f>
        <v>0</v>
      </c>
      <c r="F17" s="7">
        <f>KPIダッシュボード!G16</f>
        <v>0</v>
      </c>
    </row>
    <row r="19" spans="2:7" ht="19.95" customHeight="1">
      <c r="B19" s="55" t="s">
        <v>17</v>
      </c>
      <c r="C19" s="51"/>
      <c r="D19" s="51"/>
      <c r="E19" s="51"/>
      <c r="F19" s="51"/>
      <c r="G19" s="51"/>
    </row>
    <row r="20" spans="2:7" ht="16.2">
      <c r="B20" s="2" t="s">
        <v>18</v>
      </c>
      <c r="C20" s="2" t="s">
        <v>19</v>
      </c>
      <c r="D20" s="2" t="s">
        <v>20</v>
      </c>
      <c r="E20" s="62" t="s">
        <v>9</v>
      </c>
      <c r="F20" s="63"/>
      <c r="G20" s="64"/>
    </row>
    <row r="21" spans="2:7" ht="16.2">
      <c r="B21" s="3" t="s">
        <v>21</v>
      </c>
      <c r="C21" s="4">
        <f>KPIダッシュボード!C44</f>
        <v>10</v>
      </c>
      <c r="D21" s="5">
        <f>KPIダッシュボード!D44</f>
        <v>0</v>
      </c>
      <c r="E21" s="61">
        <f>KPIダッシュボード!E44</f>
        <v>0</v>
      </c>
      <c r="F21" s="54"/>
      <c r="G21" s="54"/>
    </row>
    <row r="22" spans="2:7" ht="16.2">
      <c r="B22" s="3" t="s">
        <v>22</v>
      </c>
      <c r="C22" s="4">
        <f>KPIダッシュボード!C45</f>
        <v>10</v>
      </c>
      <c r="D22" s="5">
        <f>KPIダッシュボード!D45</f>
        <v>0</v>
      </c>
      <c r="E22" s="61">
        <f>KPIダッシュボード!E45</f>
        <v>0</v>
      </c>
      <c r="F22" s="54"/>
      <c r="G22" s="54"/>
    </row>
    <row r="23" spans="2:7" ht="16.2">
      <c r="B23" s="3" t="s">
        <v>23</v>
      </c>
      <c r="C23" s="4">
        <f>KPIダッシュボード!C46</f>
        <v>20</v>
      </c>
      <c r="D23" s="5">
        <f>KPIダッシュボード!D46</f>
        <v>0</v>
      </c>
      <c r="E23" s="61">
        <f>KPIダッシュボード!E46</f>
        <v>0</v>
      </c>
      <c r="F23" s="54"/>
      <c r="G23" s="54"/>
    </row>
    <row r="25" spans="2:7" ht="19.95" customHeight="1">
      <c r="B25" s="55" t="s">
        <v>24</v>
      </c>
      <c r="C25" s="51"/>
      <c r="D25" s="51"/>
      <c r="E25" s="51"/>
      <c r="F25" s="51"/>
      <c r="G25" s="51"/>
    </row>
    <row r="26" spans="2:7" ht="15">
      <c r="B26" s="8" t="s">
        <v>25</v>
      </c>
      <c r="C26" s="8" t="s">
        <v>26</v>
      </c>
      <c r="D26" s="8" t="s">
        <v>27</v>
      </c>
      <c r="E26" s="8" t="s">
        <v>28</v>
      </c>
      <c r="F26" s="8" t="s">
        <v>26</v>
      </c>
      <c r="G26" s="8" t="s">
        <v>27</v>
      </c>
    </row>
    <row r="27" spans="2:7" ht="15">
      <c r="B27" s="9" t="s">
        <v>29</v>
      </c>
      <c r="C27" s="10">
        <f>COUNTIF(応募者データ!$G$3:$G$504,"男")</f>
        <v>11</v>
      </c>
      <c r="D27" s="11">
        <f>IFERROR(C27/SUM(C27:C28),"")</f>
        <v>0.55000000000000004</v>
      </c>
      <c r="E27" s="9" t="s">
        <v>30</v>
      </c>
      <c r="F27" s="10">
        <f>COUNTIF(応募者データ!$H$3:$H$504,"日本")</f>
        <v>16</v>
      </c>
      <c r="G27" s="11">
        <f>IFERROR(F27/SUM(F27:F28),"")</f>
        <v>0.8</v>
      </c>
    </row>
    <row r="28" spans="2:7" ht="15">
      <c r="B28" s="9" t="s">
        <v>31</v>
      </c>
      <c r="C28" s="10">
        <f>COUNTIF(応募者データ!$G$3:$G$504,"女")</f>
        <v>9</v>
      </c>
      <c r="D28" s="11">
        <f>IFERROR(C28/SUM(C27:C28),"")</f>
        <v>0.45</v>
      </c>
      <c r="E28" s="9" t="s">
        <v>32</v>
      </c>
      <c r="F28" s="10">
        <f>COUNTIF(応募者データ!$H$3:$H$504,"外国籍")</f>
        <v>4</v>
      </c>
      <c r="G28" s="11">
        <f>IFERROR(F28/SUM(F27:F28),"")</f>
        <v>0.2</v>
      </c>
    </row>
    <row r="30" spans="2:7" ht="15">
      <c r="B30" s="8" t="s">
        <v>33</v>
      </c>
      <c r="C30" s="8" t="s">
        <v>26</v>
      </c>
      <c r="D30" s="8" t="s">
        <v>27</v>
      </c>
      <c r="E30" s="8" t="s">
        <v>34</v>
      </c>
      <c r="F30" s="8" t="s">
        <v>26</v>
      </c>
      <c r="G30" s="8" t="s">
        <v>27</v>
      </c>
    </row>
    <row r="31" spans="2:7" ht="15">
      <c r="B31" s="9" t="s">
        <v>35</v>
      </c>
      <c r="C31" s="10">
        <f>COUNTIF(応募者データ!$I$3:$I$504,"経験者")</f>
        <v>1</v>
      </c>
      <c r="D31" s="11">
        <f>IFERROR(C31/SUM(C31:C33),"")</f>
        <v>0.05</v>
      </c>
      <c r="E31" s="9" t="s">
        <v>36</v>
      </c>
      <c r="F31" s="10">
        <f>COUNTIF(応募者データ!$J$3:$J$504,"学生")</f>
        <v>0</v>
      </c>
      <c r="G31" s="11">
        <f>IFERROR(F31/SUM(F31:F36),"")</f>
        <v>0</v>
      </c>
    </row>
    <row r="32" spans="2:7" ht="15">
      <c r="B32" s="9" t="s">
        <v>37</v>
      </c>
      <c r="C32" s="10">
        <f>COUNTIF(応募者データ!$I$3:$I$504,"未経験者")</f>
        <v>19</v>
      </c>
      <c r="D32" s="11">
        <f>IFERROR(C32/SUM(C31:C33),"")</f>
        <v>0.95</v>
      </c>
      <c r="E32" s="9" t="s">
        <v>38</v>
      </c>
      <c r="F32" s="10">
        <f>COUNTIF(応募者データ!$J$3:$J$504,"フリーター")</f>
        <v>0</v>
      </c>
      <c r="G32" s="11">
        <f>IFERROR(F32/SUM(F31:F36),"")</f>
        <v>0</v>
      </c>
    </row>
    <row r="33" spans="2:8" ht="15">
      <c r="B33" s="9" t="s">
        <v>39</v>
      </c>
      <c r="C33" s="10">
        <f>COUNTA(応募者データ!$E$3:$E$504)-COUNTIF(応募者データ!$I$3:$I$504,"経験者")-COUNTIF(応募者データ!$I$3:$I$504,"未経験者")</f>
        <v>0</v>
      </c>
      <c r="D33" s="11">
        <f>IFERROR(C33/SUM(C31:C33),"")</f>
        <v>0</v>
      </c>
      <c r="E33" s="9" t="s">
        <v>40</v>
      </c>
      <c r="F33" s="10">
        <f>COUNTIF(応募者データ!$J$3:$J$504,"社会人")</f>
        <v>0</v>
      </c>
      <c r="G33" s="11">
        <f>IFERROR(F33/SUM(F31:F36),"")</f>
        <v>0</v>
      </c>
    </row>
    <row r="34" spans="2:8" ht="15">
      <c r="E34" s="9" t="s">
        <v>41</v>
      </c>
      <c r="F34" s="10">
        <f>COUNTIF(応募者データ!$J$3:$J$504,"主婦・主夫")</f>
        <v>2</v>
      </c>
      <c r="G34" s="11">
        <f>IFERROR(F34/SUM(F31:F36),"")</f>
        <v>0.1</v>
      </c>
    </row>
    <row r="35" spans="2:8" ht="15">
      <c r="E35" s="9" t="s">
        <v>42</v>
      </c>
      <c r="F35" s="10">
        <f>COUNTIF(応募者データ!$J$3:$J$504,"その他")</f>
        <v>4</v>
      </c>
      <c r="G35" s="11">
        <f>IFERROR(F35/SUM(F31:F36),"")</f>
        <v>0.2</v>
      </c>
    </row>
    <row r="36" spans="2:8" ht="15">
      <c r="E36" s="9" t="s">
        <v>39</v>
      </c>
      <c r="F36" s="10">
        <f>COUNTA(応募者データ!$E$3:$E$504)-COUNTIF(応募者データ!$J$3:$J$504,"学生")-COUNTIF(応募者データ!$J$3:$J$504,"フリーター")-COUNTIF(応募者データ!$J$3:$J$504,"社会人")-COUNTIF(応募者データ!$J$3:$J$504,"主婦・主夫")-COUNTIF(応募者データ!$J$3:$J$504,"その他")</f>
        <v>14</v>
      </c>
      <c r="G36" s="11">
        <f>IFERROR(F36/SUM(F31:F36),"")</f>
        <v>0.7</v>
      </c>
    </row>
    <row r="38" spans="2:8" ht="15">
      <c r="B38" s="8" t="s">
        <v>43</v>
      </c>
      <c r="C38" s="12" t="s">
        <v>44</v>
      </c>
      <c r="D38" s="12" t="s">
        <v>45</v>
      </c>
      <c r="E38" s="12" t="s">
        <v>46</v>
      </c>
      <c r="F38" s="12" t="s">
        <v>47</v>
      </c>
      <c r="G38" s="12" t="s">
        <v>48</v>
      </c>
      <c r="H38" s="12" t="s">
        <v>49</v>
      </c>
    </row>
    <row r="39" spans="2:8" ht="16.2">
      <c r="B39" s="10" t="s">
        <v>26</v>
      </c>
      <c r="C39" s="5">
        <f>COUNTIF(応募者データ!$F$3:$F$504,"&lt;=19")</f>
        <v>4</v>
      </c>
      <c r="D39" s="5">
        <f>COUNTIFS(応募者データ!$F$3:$F$504,"&gt;=20",応募者データ!$F$3:$F$504,"&lt;=29")</f>
        <v>8</v>
      </c>
      <c r="E39" s="5">
        <f>COUNTIFS(応募者データ!$F$3:$F$504,"&gt;=30",応募者データ!$F$3:$F$504,"&lt;=39")</f>
        <v>2</v>
      </c>
      <c r="F39" s="5">
        <f>COUNTIFS(応募者データ!$F$3:$F$504,"&gt;=40",応募者データ!$F$3:$F$504,"&lt;=49")</f>
        <v>0</v>
      </c>
      <c r="G39" s="5">
        <f>COUNTIFS(応募者データ!$F$3:$F$504,"&gt;=50",応募者データ!$F$3:$F$504,"&lt;=59")</f>
        <v>1</v>
      </c>
      <c r="H39" s="5">
        <f>COUNTIF(応募者データ!$F$3:$F$504,"&gt;=60")</f>
        <v>5</v>
      </c>
    </row>
    <row r="41" spans="2:8" ht="19.95" customHeight="1">
      <c r="B41" s="55" t="s">
        <v>50</v>
      </c>
      <c r="C41" s="51"/>
      <c r="D41" s="51"/>
      <c r="E41" s="51"/>
      <c r="F41" s="51"/>
      <c r="G41" s="51"/>
    </row>
    <row r="42" spans="2:8" ht="13.2" customHeight="1">
      <c r="B42" s="59" t="s">
        <v>51</v>
      </c>
      <c r="C42" s="59"/>
      <c r="D42" s="59"/>
      <c r="E42" s="59"/>
      <c r="F42" s="59"/>
      <c r="G42" s="59"/>
    </row>
    <row r="43" spans="2:8" ht="13.5" customHeight="1">
      <c r="B43" s="60"/>
      <c r="C43" s="60"/>
      <c r="D43" s="60"/>
      <c r="E43" s="60"/>
      <c r="F43" s="60"/>
      <c r="G43" s="60"/>
    </row>
    <row r="44" spans="2:8" ht="13.5" customHeight="1">
      <c r="B44" s="60"/>
      <c r="C44" s="60"/>
      <c r="D44" s="60"/>
      <c r="E44" s="60"/>
      <c r="F44" s="60"/>
      <c r="G44" s="60"/>
    </row>
    <row r="45" spans="2:8" ht="13.5" customHeight="1">
      <c r="B45" s="60"/>
      <c r="C45" s="60"/>
      <c r="D45" s="60"/>
      <c r="E45" s="60"/>
      <c r="F45" s="60"/>
      <c r="G45" s="60"/>
    </row>
    <row r="46" spans="2:8" ht="13.5" customHeight="1">
      <c r="B46" s="60"/>
      <c r="C46" s="60"/>
      <c r="D46" s="60"/>
      <c r="E46" s="60"/>
      <c r="F46" s="60"/>
      <c r="G46" s="60"/>
    </row>
    <row r="47" spans="2:8" ht="13.5" customHeight="1">
      <c r="B47" s="60"/>
      <c r="C47" s="60"/>
      <c r="D47" s="60"/>
      <c r="E47" s="60"/>
      <c r="F47" s="60"/>
      <c r="G47" s="60"/>
    </row>
    <row r="48" spans="2:8" ht="13.5" customHeight="1">
      <c r="B48" s="60"/>
      <c r="C48" s="60"/>
      <c r="D48" s="60"/>
      <c r="E48" s="60"/>
      <c r="F48" s="60"/>
      <c r="G48" s="60"/>
    </row>
    <row r="49" spans="2:7" ht="13.2" customHeight="1">
      <c r="B49" s="60"/>
      <c r="C49" s="60"/>
      <c r="D49" s="60"/>
      <c r="E49" s="60"/>
      <c r="F49" s="60"/>
      <c r="G49" s="60"/>
    </row>
    <row r="50" spans="2:7" ht="13.2" customHeight="1">
      <c r="B50" s="60"/>
      <c r="C50" s="60"/>
      <c r="D50" s="60"/>
      <c r="E50" s="60"/>
      <c r="F50" s="60"/>
      <c r="G50" s="60"/>
    </row>
    <row r="51" spans="2:7" ht="13.2" customHeight="1">
      <c r="B51" s="60"/>
      <c r="C51" s="60"/>
      <c r="D51" s="60"/>
      <c r="E51" s="60"/>
      <c r="F51" s="60"/>
      <c r="G51" s="60"/>
    </row>
    <row r="52" spans="2:7" ht="13.2" customHeight="1">
      <c r="B52" s="60"/>
      <c r="C52" s="60"/>
      <c r="D52" s="60"/>
      <c r="E52" s="60"/>
      <c r="F52" s="60"/>
      <c r="G52" s="60"/>
    </row>
    <row r="53" spans="2:7" ht="13.2" customHeight="1">
      <c r="B53" s="60"/>
      <c r="C53" s="60"/>
      <c r="D53" s="60"/>
      <c r="E53" s="60"/>
      <c r="F53" s="60"/>
      <c r="G53" s="60"/>
    </row>
    <row r="54" spans="2:7" ht="13.2" customHeight="1">
      <c r="B54" s="60"/>
      <c r="C54" s="60"/>
      <c r="D54" s="60"/>
      <c r="E54" s="60"/>
      <c r="F54" s="60"/>
      <c r="G54" s="60"/>
    </row>
    <row r="55" spans="2:7" ht="13.2" customHeight="1">
      <c r="B55" s="60"/>
      <c r="C55" s="60"/>
      <c r="D55" s="60"/>
      <c r="E55" s="60"/>
      <c r="F55" s="60"/>
      <c r="G55" s="60"/>
    </row>
    <row r="56" spans="2:7" ht="13.2" customHeight="1">
      <c r="B56" s="60"/>
      <c r="C56" s="60"/>
      <c r="D56" s="60"/>
      <c r="E56" s="60"/>
      <c r="F56" s="60"/>
      <c r="G56" s="60"/>
    </row>
    <row r="57" spans="2:7">
      <c r="B57" s="60"/>
      <c r="C57" s="60"/>
      <c r="D57" s="60"/>
      <c r="E57" s="60"/>
      <c r="F57" s="60"/>
      <c r="G57" s="60"/>
    </row>
    <row r="58" spans="2:7" ht="13.2" customHeight="1">
      <c r="B58" s="60"/>
      <c r="C58" s="60"/>
      <c r="D58" s="60"/>
      <c r="E58" s="60"/>
      <c r="F58" s="60"/>
      <c r="G58" s="60"/>
    </row>
    <row r="59" spans="2:7" ht="13.2" customHeight="1">
      <c r="B59" s="60"/>
      <c r="C59" s="60"/>
      <c r="D59" s="60"/>
      <c r="E59" s="60"/>
      <c r="F59" s="60"/>
      <c r="G59" s="60"/>
    </row>
    <row r="60" spans="2:7" ht="6" customHeight="1"/>
    <row r="61" spans="2:7" ht="21" customHeight="1">
      <c r="B61" s="55" t="inlineStr">
        <is>
          <t xml:space="preserve">■ Issue / Action Tracker（課題・アクション管理）</t>
        </is>
      </c>
    </row>
    <row r="62" spans="2:7" ht="16" customHeight="1">
      <c r="B62" s="81" t="inlineStr">
        <is>
          <t xml:space="preserve">コンサル標準の課題管理表｜Action・TODO・Responsible・STATUS・DUE DATE｜更新日：2026-08-08｜出典：担当ヒアリング（Issue/Action Tracker）</t>
        </is>
      </c>
    </row>
    <row r="63" spans="2:7" ht="24" customHeight="1">
      <c r="B63" s="2" t="inlineStr">
        <is>
          <t xml:space="preserve">課題 / Action</t>
        </is>
      </c>
      <c r="C63" s="2" t="inlineStr">
        <is>
          <t xml:space="preserve">TODO（次にやること）</t>
        </is>
      </c>
      <c r="D63" s="2" t="inlineStr">
        <is>
          <t xml:space="preserve">Responsible</t>
        </is>
      </c>
      <c r="E63" s="2" t="inlineStr">
        <is>
          <t xml:space="preserve">STATUS（進捗状況）</t>
        </is>
      </c>
      <c r="F63" s="2" t="inlineStr">
        <is>
          <t xml:space="preserve">DUE DATE</t>
        </is>
      </c>
      <c r="G63" s="2"/>
    </row>
    <row r="64" spans="2:7" ht="46" customHeight="1">
      <c r="B64" s="74" t="inlineStr">
        <is>
          <t xml:space="preserve">1　社員紹介制度の開始</t>
        </is>
      </c>
      <c r="C64" s="75" t="inlineStr">
        <is>
          <t xml:space="preserve">稟議を上程・決裁を取得し、制度を正式スタート</t>
        </is>
      </c>
      <c r="D64" s="76" t="inlineStr">
        <is>
          <t xml:space="preserve">遠藤・髙田</t>
        </is>
      </c>
      <c r="E64" s="75" t="inlineStr">
        <is>
          <t xml:space="preserve">稟議準備中。現場説明・協力依頼済</t>
        </is>
      </c>
      <c r="F64" s="76" t="inlineStr">
        <is>
          <t xml:space="preserve">8/14</t>
        </is>
      </c>
      <c r="G64" s="76"/>
    </row>
    <row r="65" spans="2:7" ht="46" customHeight="1">
      <c r="B65" s="77" t="inlineStr">
        <is>
          <t xml:space="preserve">2　交通費ルールの整理</t>
        </is>
      </c>
      <c r="C65" s="78" t="inlineStr">
        <is>
          <t xml:space="preserve">短時間勤務者向けの交通費取扱いを確定・規程化</t>
        </is>
      </c>
      <c r="D65" s="79" t="inlineStr">
        <is>
          <t xml:space="preserve">髙田・坂本</t>
        </is>
      </c>
      <c r="E65" s="78" t="inlineStr">
        <is>
          <t xml:space="preserve">短時間勤務者向け取扱いを検討中</t>
        </is>
      </c>
      <c r="F65" s="79" t="inlineStr">
        <is>
          <t xml:space="preserve">8/14</t>
        </is>
      </c>
      <c r="G65" s="79"/>
    </row>
    <row r="66" spans="2:7" ht="46" customHeight="1">
      <c r="B66" s="74" t="inlineStr">
        <is>
          <t xml:space="preserve">3　既存パート時給の見直し</t>
        </is>
      </c>
      <c r="C66" s="75" t="inlineStr">
        <is>
          <t xml:space="preserve">UL等 既存者との時給差の是正方針を決定</t>
        </is>
      </c>
      <c r="D66" s="76" t="inlineStr">
        <is>
          <t xml:space="preserve">髙田・坂本</t>
        </is>
      </c>
      <c r="E66" s="75" t="inlineStr">
        <is>
          <t xml:space="preserve">UL等、既存者との時給差を確認中</t>
        </is>
      </c>
      <c r="F66" s="76" t="inlineStr">
        <is>
          <t xml:space="preserve">8/14</t>
        </is>
      </c>
      <c r="G66" s="76"/>
    </row>
    <row r="67" spans="2:7" ht="46" customHeight="1">
      <c r="B67" s="77" t="inlineStr">
        <is>
          <t xml:space="preserve">4　短時間勤務者向け教育の整理</t>
        </is>
      </c>
      <c r="C67" s="78" t="inlineStr">
        <is>
          <t xml:space="preserve">現行7日間研修に代わる短縮研修プランを策定</t>
        </is>
      </c>
      <c r="D67" s="79" t="inlineStr">
        <is>
          <t xml:space="preserve">加納</t>
        </is>
      </c>
      <c r="E67" s="78" t="inlineStr">
        <is>
          <t xml:space="preserve">現行7日間研修が採用上のネック。代替方法を検討</t>
        </is>
      </c>
      <c r="F67" s="79" t="inlineStr">
        <is>
          <t xml:space="preserve">8/14</t>
        </is>
      </c>
      <c r="G67" s="79"/>
    </row>
    <row r="68" spans="2:7" ht="46" customHeight="1">
      <c r="B68" s="74" t="inlineStr">
        <is>
          <t xml:space="preserve">5　効果的な配置時間帯・業務の特定</t>
        </is>
      </c>
      <c r="C68" s="75" t="inlineStr">
        <is>
          <t xml:space="preserve">各所属長から時間帯別の必要出面を回収・集約</t>
        </is>
      </c>
      <c r="D68" s="76" t="inlineStr">
        <is>
          <t xml:space="preserve">各所属長・内山</t>
        </is>
      </c>
      <c r="E68" s="75" t="inlineStr">
        <is>
          <t xml:space="preserve">本日、各所属長へ検討依頼</t>
        </is>
      </c>
      <c r="F68" s="80" t="inlineStr">
        <is>
          <t xml:space="preserve">8/12</t>
        </is>
      </c>
      <c r="G68" s="80"/>
    </row>
    <row r="69" spans="2:7" ht="46" customHeight="1">
      <c r="B69" s="77" t="inlineStr">
        <is>
          <t xml:space="preserve">6　経験者採用方法の具体化</t>
        </is>
      </c>
      <c r="C69" s="78" t="inlineStr">
        <is>
          <t xml:space="preserve">採用チャネル案を取りまとめ、実施方針を決定</t>
        </is>
      </c>
      <c r="D69" s="79" t="inlineStr">
        <is>
          <t xml:space="preserve">内山</t>
        </is>
      </c>
      <c r="E69" s="78" t="inlineStr">
        <is>
          <t xml:space="preserve">現場へアイデア出しを依頼。紹介制度と並行検討</t>
        </is>
      </c>
      <c r="F69" s="80" t="inlineStr">
        <is>
          <t xml:space="preserve">8/12</t>
        </is>
      </c>
      <c r="G69" s="80"/>
    </row>
    <row r="70" spans="2:7" ht="46" customHeight="1">
      <c r="B70" s="74" t="inlineStr">
        <is>
          <t xml:space="preserve">7　面接予定3名の選考</t>
        </is>
      </c>
      <c r="C70" s="75" t="inlineStr">
        <is>
          <t xml:space="preserve">面接を実施し合否を判定（経験者1名含む）</t>
        </is>
      </c>
      <c r="D70" s="76" t="inlineStr">
        <is>
          <t xml:space="preserve">内山・野澤</t>
        </is>
      </c>
      <c r="E70" s="75" t="inlineStr">
        <is>
          <t xml:space="preserve">面接調整中（経験者1名含む）</t>
        </is>
      </c>
      <c r="F70" s="76" t="inlineStr">
        <is>
          <t xml:space="preserve">随時</t>
        </is>
      </c>
      <c r="G70" s="76"/>
    </row>
    <row r="71" spans="2:7" ht="30" customHeight="1">
      <c r="B71" s="82" t="inlineStr">
        <is>
          <t xml:space="preserve">凡例）本トラッカーは担当ヒアリングの Issue/Action Tracker を反映。STATUS＝進捗状況、TODO＝各進捗から導いた次アクション（要編集）。DUE DATE の直近（8/12）は黄色でハイライト。上部KPI・属性は［応募者データ］から自動集計。</t>
        </is>
      </c>
    </row>
  </sheetData>
  <mergeCells count="32">
    <mergeCell ref="B42:G59"/>
    <mergeCell ref="E21:G21"/>
    <mergeCell ref="B25:G25"/>
    <mergeCell ref="D8:E8"/>
    <mergeCell ref="E23:G23"/>
    <mergeCell ref="E20:G20"/>
    <mergeCell ref="E22:G22"/>
    <mergeCell ref="B41:G41"/>
    <mergeCell ref="B2:G2"/>
    <mergeCell ref="B1:G1"/>
    <mergeCell ref="B6:C7"/>
    <mergeCell ref="B19:G19"/>
    <mergeCell ref="B10:G10"/>
    <mergeCell ref="F5:G5"/>
    <mergeCell ref="B8:C8"/>
    <mergeCell ref="F8:G8"/>
    <mergeCell ref="B3:G3"/>
    <mergeCell ref="B5:C5"/>
    <mergeCell ref="D5:E5"/>
    <mergeCell ref="D6:E7"/>
    <mergeCell ref="F6:G7"/>
    <mergeCell ref="B61:G61"/>
    <mergeCell ref="B62:G62"/>
    <mergeCell ref="F63:G63"/>
    <mergeCell ref="F64:G64"/>
    <mergeCell ref="F65:G65"/>
    <mergeCell ref="F66:G66"/>
    <mergeCell ref="F67:G67"/>
    <mergeCell ref="F68:G68"/>
    <mergeCell ref="F69:G69"/>
    <mergeCell ref="F70:G70"/>
    <mergeCell ref="B71:G71"/>
  </mergeCells>
  <phoneticPr fontId="23"/>
  <conditionalFormatting sqref="E12:E17">
    <cfRule type="cellIs" dxfId="12" priority="1" operator="greaterThanOrEqual">
      <formula>1</formula>
    </cfRule>
    <cfRule type="cellIs" dxfId="11" priority="2" operator="between">
      <formula>0.7</formula>
      <formula>0.9999</formula>
    </cfRule>
    <cfRule type="cellIs" dxfId="10" priority="3" operator="lessThan">
      <formula>0.7</formula>
    </cfRule>
  </conditionalFormatting>
  <conditionalFormatting sqref="F12:F17">
    <cfRule type="cellIs" dxfId="9" priority="4" operator="greaterThan">
      <formula>0</formula>
    </cfRule>
    <cfRule type="cellIs" dxfId="8" priority="5" operator="lessThan">
      <formula>0</formula>
    </cfRule>
  </conditionalFormatting>
  <pageMargins left="0.4" right="0.4" top="0.5" bottom="0.4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B1:H86"/>
  <sheetViews>
    <sheetView showGridLines="0" workbookViewId="0">
      <selection activeCell="D11" sqref="D11"/>
    </sheetView>
  </sheetViews>
  <sheetFormatPr defaultRowHeight="13.2"/>
  <cols>
    <col min="1" max="1" width="2" customWidth="1"/>
    <col min="2" max="2" width="23" customWidth="1"/>
    <col min="3" max="8" width="12.44140625" customWidth="1"/>
    <col min="9" max="9" width="2" customWidth="1"/>
  </cols>
  <sheetData>
    <row r="1" spans="2:8" ht="34.200000000000003" customHeight="1">
      <c r="B1" s="70" t="s">
        <v>52</v>
      </c>
      <c r="C1" s="51"/>
      <c r="D1" s="51"/>
      <c r="E1" s="51"/>
      <c r="F1" s="51"/>
      <c r="G1" s="51"/>
      <c r="H1" s="51"/>
    </row>
    <row r="2" spans="2:8" ht="19.95" customHeight="1">
      <c r="B2" s="69" t="str">
        <f>TEXT(MAX(日次レポート!$A$4:$A$200),"yyyy/mm/dd")&amp;" 時点　｜　成田(NRT)・千歳(CTS) パート採用進捗　｜　数値は応募者データより自動集計"</f>
        <v>2026/08/06 時点　｜　成田(NRT)・千歳(CTS) パート採用進捗　｜　数値は応募者データより自動集計</v>
      </c>
      <c r="C2" s="51"/>
      <c r="D2" s="51"/>
      <c r="E2" s="51"/>
      <c r="F2" s="51"/>
      <c r="G2" s="51"/>
      <c r="H2" s="51"/>
    </row>
    <row r="4" spans="2:8" ht="22.2" customHeight="1">
      <c r="B4" s="67" t="s">
        <v>53</v>
      </c>
      <c r="C4" s="51"/>
      <c r="D4" s="51"/>
      <c r="E4" s="51"/>
      <c r="F4" s="51"/>
      <c r="G4" s="51"/>
      <c r="H4" s="51"/>
    </row>
    <row r="5" spans="2:8" ht="17.399999999999999">
      <c r="B5" s="13" t="s">
        <v>54</v>
      </c>
      <c r="C5" s="5" t="s">
        <v>55</v>
      </c>
      <c r="D5" s="14">
        <v>10</v>
      </c>
      <c r="E5" s="5" t="s">
        <v>56</v>
      </c>
      <c r="F5" s="14">
        <v>10</v>
      </c>
      <c r="G5" s="5" t="s">
        <v>23</v>
      </c>
      <c r="H5" s="15">
        <f>D5+F5</f>
        <v>20</v>
      </c>
    </row>
    <row r="6" spans="2:8" ht="16.2">
      <c r="B6" s="3" t="s">
        <v>57</v>
      </c>
      <c r="C6" s="5" t="s">
        <v>58</v>
      </c>
      <c r="D6" s="5" t="s">
        <v>59</v>
      </c>
      <c r="E6" s="5" t="s">
        <v>60</v>
      </c>
      <c r="F6" s="5" t="s">
        <v>61</v>
      </c>
      <c r="G6" s="5" t="s">
        <v>62</v>
      </c>
    </row>
    <row r="7" spans="2:8" ht="17.399999999999999">
      <c r="B7" s="16" t="s">
        <v>63</v>
      </c>
      <c r="C7" s="17">
        <v>0.5</v>
      </c>
      <c r="D7" s="17">
        <v>0.7</v>
      </c>
      <c r="E7" s="17">
        <v>0.85</v>
      </c>
      <c r="F7" s="17">
        <v>0.6</v>
      </c>
      <c r="G7" s="17">
        <v>0.8</v>
      </c>
    </row>
    <row r="9" spans="2:8" ht="22.2" customHeight="1">
      <c r="B9" s="67" t="s">
        <v>64</v>
      </c>
      <c r="C9" s="51"/>
      <c r="D9" s="51"/>
      <c r="E9" s="51"/>
      <c r="F9" s="51"/>
      <c r="G9" s="51"/>
      <c r="H9" s="51"/>
    </row>
    <row r="10" spans="2:8" ht="16.2">
      <c r="B10" s="2" t="s">
        <v>6</v>
      </c>
      <c r="C10" s="2" t="s">
        <v>65</v>
      </c>
      <c r="D10" s="2" t="s">
        <v>66</v>
      </c>
      <c r="E10" s="2" t="s">
        <v>9</v>
      </c>
      <c r="F10" s="2" t="s">
        <v>67</v>
      </c>
      <c r="G10" s="2" t="s">
        <v>10</v>
      </c>
    </row>
    <row r="11" spans="2:8" ht="17.399999999999999">
      <c r="B11" s="13" t="s">
        <v>11</v>
      </c>
      <c r="C11" s="18">
        <f>ROUNDUP(C12/$C$7,0)</f>
        <v>144</v>
      </c>
      <c r="D11" s="19">
        <f>COUNTA(応募者データ!$E$3:$E$504)</f>
        <v>20</v>
      </c>
      <c r="E11" s="20">
        <f t="shared" ref="E11:E16" si="0">IFERROR(D11/C11,"")</f>
        <v>0.1388888888888889</v>
      </c>
      <c r="F11" s="19">
        <f>IFERROR(LOOKUP(1E+100,日次レポート!B$4:B$200),0)</f>
        <v>1</v>
      </c>
      <c r="G11" s="7">
        <f t="shared" ref="G11:G16" si="1">D11-F11</f>
        <v>19</v>
      </c>
    </row>
    <row r="12" spans="2:8" ht="17.399999999999999">
      <c r="B12" s="13" t="s">
        <v>12</v>
      </c>
      <c r="C12" s="18">
        <f>ROUNDUP(C13/$D$7,0)</f>
        <v>72</v>
      </c>
      <c r="D12" s="19">
        <f>COUNTIF(応募者データ!$K$3:$K$504,"通過")</f>
        <v>4</v>
      </c>
      <c r="E12" s="20">
        <f t="shared" si="0"/>
        <v>5.5555555555555552E-2</v>
      </c>
      <c r="F12" s="19">
        <f>IFERROR(LOOKUP(1E+100,日次レポート!C$4:C$200),0)</f>
        <v>0</v>
      </c>
      <c r="G12" s="7">
        <f t="shared" si="1"/>
        <v>4</v>
      </c>
    </row>
    <row r="13" spans="2:8" ht="17.399999999999999">
      <c r="B13" s="13" t="s">
        <v>13</v>
      </c>
      <c r="C13" s="18">
        <f>ROUNDUP(C14/$E$7,0)</f>
        <v>50</v>
      </c>
      <c r="D13" s="19">
        <f>COUNTIF(応募者データ!$N$3:$N$504,"面接調整中")+COUNTIF(応募者データ!$N$3:$N$504,"面接日確定")+COUNTIF(応募者データ!$N$3:$N$504,"面接実施済み")</f>
        <v>4</v>
      </c>
      <c r="E13" s="20">
        <f t="shared" si="0"/>
        <v>0.08</v>
      </c>
      <c r="F13" s="19">
        <f>IFERROR(LOOKUP(1E+100,日次レポート!D$4:D$200),0)</f>
        <v>0</v>
      </c>
      <c r="G13" s="7">
        <f t="shared" si="1"/>
        <v>4</v>
      </c>
    </row>
    <row r="14" spans="2:8" ht="17.399999999999999">
      <c r="B14" s="13" t="s">
        <v>14</v>
      </c>
      <c r="C14" s="18">
        <f>ROUNDUP(C15/$F$7,0)</f>
        <v>42</v>
      </c>
      <c r="D14" s="19">
        <f>COUNTIF(応募者データ!$N$3:$N$504,"面接実施済み")</f>
        <v>1</v>
      </c>
      <c r="E14" s="20">
        <f t="shared" si="0"/>
        <v>2.3809523809523808E-2</v>
      </c>
      <c r="F14" s="19">
        <f>IFERROR(LOOKUP(1E+100,日次レポート!E$4:E$200),0)</f>
        <v>0</v>
      </c>
      <c r="G14" s="7">
        <f t="shared" si="1"/>
        <v>1</v>
      </c>
    </row>
    <row r="15" spans="2:8" ht="17.399999999999999">
      <c r="B15" s="13" t="s">
        <v>15</v>
      </c>
      <c r="C15" s="18">
        <f>ROUNDUP(C16/$G$7,0)</f>
        <v>25</v>
      </c>
      <c r="D15" s="19">
        <f>COUNTIF(応募者データ!$Q$3:$Q$504,"採用")+COUNTIF(応募者データ!$Q$3:$Q$504,"入社予定")+COUNTIF(応募者データ!$Q$3:$Q$504,"採用辞退")+COUNTIF(応募者データ!$Q$3:$Q$504,"入社辞退")</f>
        <v>0</v>
      </c>
      <c r="E15" s="20">
        <f t="shared" si="0"/>
        <v>0</v>
      </c>
      <c r="F15" s="19">
        <f>IFERROR(LOOKUP(1E+100,日次レポート!F$4:F$200),0)</f>
        <v>0</v>
      </c>
      <c r="G15" s="7">
        <f t="shared" si="1"/>
        <v>0</v>
      </c>
    </row>
    <row r="16" spans="2:8" ht="17.399999999999999">
      <c r="B16" s="13" t="s">
        <v>16</v>
      </c>
      <c r="C16" s="18">
        <f>$H$5</f>
        <v>20</v>
      </c>
      <c r="D16" s="19">
        <f>COUNTIF(応募者データ!$Q$3:$Q$504,"採用")+COUNTIF(応募者データ!$Q$3:$Q$504,"入社予定")</f>
        <v>0</v>
      </c>
      <c r="E16" s="20">
        <f t="shared" si="0"/>
        <v>0</v>
      </c>
      <c r="F16" s="19">
        <f>IFERROR(LOOKUP(1E+100,日次レポート!G$4:G$200),0)</f>
        <v>0</v>
      </c>
      <c r="G16" s="7">
        <f t="shared" si="1"/>
        <v>0</v>
      </c>
    </row>
    <row r="18" spans="2:8" ht="22.2" customHeight="1">
      <c r="B18" s="67" t="s">
        <v>68</v>
      </c>
      <c r="C18" s="51"/>
      <c r="D18" s="51"/>
      <c r="E18" s="51"/>
      <c r="F18" s="51"/>
      <c r="G18" s="51"/>
      <c r="H18" s="51"/>
    </row>
    <row r="19" spans="2:8" ht="16.2">
      <c r="B19" s="2" t="s">
        <v>6</v>
      </c>
      <c r="C19" s="2" t="s">
        <v>69</v>
      </c>
      <c r="D19" s="2" t="s">
        <v>70</v>
      </c>
    </row>
    <row r="20" spans="2:8" ht="17.399999999999999">
      <c r="B20" s="13" t="s">
        <v>58</v>
      </c>
      <c r="C20" s="21">
        <f>IFERROR(D12/D11,"")</f>
        <v>0.2</v>
      </c>
      <c r="D20" s="66" t="s">
        <v>71</v>
      </c>
      <c r="E20" s="54"/>
      <c r="F20" s="54"/>
      <c r="G20" s="54"/>
    </row>
    <row r="21" spans="2:8" ht="17.399999999999999">
      <c r="B21" s="13" t="s">
        <v>59</v>
      </c>
      <c r="C21" s="21">
        <f>IFERROR(D13/D12,"")</f>
        <v>1</v>
      </c>
      <c r="D21" s="66" t="s">
        <v>72</v>
      </c>
      <c r="E21" s="54"/>
      <c r="F21" s="54"/>
      <c r="G21" s="54"/>
    </row>
    <row r="22" spans="2:8" ht="17.399999999999999">
      <c r="B22" s="13" t="s">
        <v>60</v>
      </c>
      <c r="C22" s="21">
        <f>IFERROR(D14/D13,"")</f>
        <v>0.25</v>
      </c>
      <c r="D22" s="66" t="s">
        <v>73</v>
      </c>
      <c r="E22" s="54"/>
      <c r="F22" s="54"/>
      <c r="G22" s="54"/>
    </row>
    <row r="23" spans="2:8" ht="17.399999999999999">
      <c r="B23" s="13" t="s">
        <v>61</v>
      </c>
      <c r="C23" s="21">
        <f>IFERROR(D15/D14,"")</f>
        <v>0</v>
      </c>
      <c r="D23" s="66" t="s">
        <v>74</v>
      </c>
      <c r="E23" s="54"/>
      <c r="F23" s="54"/>
      <c r="G23" s="54"/>
    </row>
    <row r="24" spans="2:8" ht="17.399999999999999">
      <c r="B24" s="13" t="s">
        <v>62</v>
      </c>
      <c r="C24" s="21" t="str">
        <f>IFERROR(D16/D15,"")</f>
        <v/>
      </c>
      <c r="D24" s="66" t="s">
        <v>75</v>
      </c>
      <c r="E24" s="54"/>
      <c r="F24" s="54"/>
      <c r="G24" s="54"/>
    </row>
    <row r="26" spans="2:8" ht="22.2" customHeight="1">
      <c r="B26" s="67" t="s">
        <v>76</v>
      </c>
      <c r="C26" s="51"/>
      <c r="D26" s="51"/>
      <c r="E26" s="51"/>
      <c r="F26" s="51"/>
      <c r="G26" s="51"/>
      <c r="H26" s="51"/>
    </row>
    <row r="27" spans="2:8" ht="16.2">
      <c r="B27" s="2" t="s">
        <v>77</v>
      </c>
      <c r="C27" s="2" t="s">
        <v>11</v>
      </c>
      <c r="D27" s="2" t="s">
        <v>12</v>
      </c>
      <c r="E27" s="2" t="s">
        <v>13</v>
      </c>
      <c r="F27" s="2" t="s">
        <v>14</v>
      </c>
      <c r="G27" s="2" t="s">
        <v>15</v>
      </c>
      <c r="H27" s="2" t="s">
        <v>16</v>
      </c>
    </row>
    <row r="28" spans="2:8" ht="16.2">
      <c r="B28" s="3" t="s">
        <v>78</v>
      </c>
      <c r="C28" s="4">
        <f>COUNTIFS(応募者データ!$B$3:$B$504,"バイトル")</f>
        <v>16</v>
      </c>
      <c r="D28" s="4">
        <f>COUNTIFS(応募者データ!$B$3:$B$504,"バイトル",応募者データ!$K$3:$K$504,"通過")</f>
        <v>2</v>
      </c>
      <c r="E28" s="4">
        <f>COUNTIFS(応募者データ!$B$3:$B$504,"バイトル",応募者データ!$N$3:$N$504,"面接調整中")+COUNTIFS(応募者データ!$B$3:$B$504,"バイトル",応募者データ!$N$3:$N$504,"面接日確定")+COUNTIFS(応募者データ!$B$3:$B$504,"バイトル",応募者データ!$N$3:$N$504,"面接実施済み")</f>
        <v>2</v>
      </c>
      <c r="F28" s="4">
        <f>COUNTIFS(応募者データ!$B$3:$B$504,"バイトル",応募者データ!$N$3:$N$504,"面接実施済み")</f>
        <v>1</v>
      </c>
      <c r="G28" s="4">
        <f>COUNTIFS(応募者データ!$B$3:$B$504,"バイトル",応募者データ!$Q$3:$Q$504,"採用")+COUNTIFS(応募者データ!$B$3:$B$504,"バイトル",応募者データ!$Q$3:$Q$504,"入社予定")+COUNTIFS(応募者データ!$B$3:$B$504,"バイトル",応募者データ!$Q$3:$Q$504,"採用辞退")+COUNTIFS(応募者データ!$B$3:$B$504,"バイトル",応募者データ!$Q$3:$Q$504,"入社辞退")</f>
        <v>0</v>
      </c>
      <c r="H28" s="4">
        <f>COUNTIFS(応募者データ!$B$3:$B$504,"バイトル",応募者データ!$Q$3:$Q$504,"採用")+COUNTIFS(応募者データ!$B$3:$B$504,"バイトル",応募者データ!$Q$3:$Q$504,"入社予定")</f>
        <v>0</v>
      </c>
    </row>
    <row r="29" spans="2:8" ht="16.2">
      <c r="B29" s="22" t="s">
        <v>79</v>
      </c>
      <c r="C29" s="23">
        <f>COUNTIFS(応募者データ!$B$3:$B$504,"マイナビバイト")</f>
        <v>3</v>
      </c>
      <c r="D29" s="23">
        <f>COUNTIFS(応募者データ!$B$3:$B$504,"マイナビバイト",応募者データ!$K$3:$K$504,"通過")</f>
        <v>1</v>
      </c>
      <c r="E29" s="23">
        <f>COUNTIFS(応募者データ!$B$3:$B$504,"マイナビバイト",応募者データ!$N$3:$N$504,"面接調整中")+COUNTIFS(応募者データ!$B$3:$B$504,"マイナビバイト",応募者データ!$N$3:$N$504,"面接日確定")+COUNTIFS(応募者データ!$B$3:$B$504,"マイナビバイト",応募者データ!$N$3:$N$504,"面接実施済み")</f>
        <v>1</v>
      </c>
      <c r="F29" s="23">
        <f>COUNTIFS(応募者データ!$B$3:$B$504,"マイナビバイト",応募者データ!$N$3:$N$504,"面接実施済み")</f>
        <v>0</v>
      </c>
      <c r="G29" s="23">
        <f>COUNTIFS(応募者データ!$B$3:$B$504,"マイナビバイト",応募者データ!$Q$3:$Q$504,"採用")+COUNTIFS(応募者データ!$B$3:$B$504,"マイナビバイト",応募者データ!$Q$3:$Q$504,"入社予定")+COUNTIFS(応募者データ!$B$3:$B$504,"マイナビバイト",応募者データ!$Q$3:$Q$504,"採用辞退")+COUNTIFS(応募者データ!$B$3:$B$504,"マイナビバイト",応募者データ!$Q$3:$Q$504,"入社辞退")</f>
        <v>0</v>
      </c>
      <c r="H29" s="23">
        <f>COUNTIFS(応募者データ!$B$3:$B$504,"マイナビバイト",応募者データ!$Q$3:$Q$504,"採用")+COUNTIFS(応募者データ!$B$3:$B$504,"マイナビバイト",応募者データ!$Q$3:$Q$504,"入社予定")</f>
        <v>0</v>
      </c>
    </row>
    <row r="30" spans="2:8" ht="16.2">
      <c r="B30" s="3" t="s">
        <v>80</v>
      </c>
      <c r="C30" s="4">
        <f>COUNTIFS(応募者データ!$B$3:$B$504,"ちゃんと")</f>
        <v>0</v>
      </c>
      <c r="D30" s="4">
        <f>COUNTIFS(応募者データ!$B$3:$B$504,"ちゃんと",応募者データ!$K$3:$K$504,"通過")</f>
        <v>0</v>
      </c>
      <c r="E30" s="4">
        <f>COUNTIFS(応募者データ!$B$3:$B$504,"ちゃんと",応募者データ!$N$3:$N$504,"面接調整中")+COUNTIFS(応募者データ!$B$3:$B$504,"ちゃんと",応募者データ!$N$3:$N$504,"面接日確定")+COUNTIFS(応募者データ!$B$3:$B$504,"ちゃんと",応募者データ!$N$3:$N$504,"面接実施済み")</f>
        <v>0</v>
      </c>
      <c r="F30" s="4">
        <f>COUNTIFS(応募者データ!$B$3:$B$504,"ちゃんと",応募者データ!$N$3:$N$504,"面接実施済み")</f>
        <v>0</v>
      </c>
      <c r="G30" s="4">
        <f>COUNTIFS(応募者データ!$B$3:$B$504,"ちゃんと",応募者データ!$Q$3:$Q$504,"採用")+COUNTIFS(応募者データ!$B$3:$B$504,"ちゃんと",応募者データ!$Q$3:$Q$504,"入社予定")+COUNTIFS(応募者データ!$B$3:$B$504,"ちゃんと",応募者データ!$Q$3:$Q$504,"採用辞退")+COUNTIFS(応募者データ!$B$3:$B$504,"ちゃんと",応募者データ!$Q$3:$Q$504,"入社辞退")</f>
        <v>0</v>
      </c>
      <c r="H30" s="4">
        <f>COUNTIFS(応募者データ!$B$3:$B$504,"ちゃんと",応募者データ!$Q$3:$Q$504,"採用")+COUNTIFS(応募者データ!$B$3:$B$504,"ちゃんと",応募者データ!$Q$3:$Q$504,"入社予定")</f>
        <v>0</v>
      </c>
    </row>
    <row r="31" spans="2:8" ht="16.2">
      <c r="B31" s="22" t="s">
        <v>81</v>
      </c>
      <c r="C31" s="23">
        <f>COUNTIFS(応募者データ!$B$3:$B$504,"社員紹介")</f>
        <v>0</v>
      </c>
      <c r="D31" s="23">
        <f>COUNTIFS(応募者データ!$B$3:$B$504,"社員紹介",応募者データ!$K$3:$K$504,"通過")</f>
        <v>0</v>
      </c>
      <c r="E31" s="23">
        <f>COUNTIFS(応募者データ!$B$3:$B$504,"社員紹介",応募者データ!$N$3:$N$504,"面接調整中")+COUNTIFS(応募者データ!$B$3:$B$504,"社員紹介",応募者データ!$N$3:$N$504,"面接日確定")+COUNTIFS(応募者データ!$B$3:$B$504,"社員紹介",応募者データ!$N$3:$N$504,"面接実施済み")</f>
        <v>0</v>
      </c>
      <c r="F31" s="23">
        <f>COUNTIFS(応募者データ!$B$3:$B$504,"社員紹介",応募者データ!$N$3:$N$504,"面接実施済み")</f>
        <v>0</v>
      </c>
      <c r="G31" s="23">
        <f>COUNTIFS(応募者データ!$B$3:$B$504,"社員紹介",応募者データ!$Q$3:$Q$504,"採用")+COUNTIFS(応募者データ!$B$3:$B$504,"社員紹介",応募者データ!$Q$3:$Q$504,"入社予定")+COUNTIFS(応募者データ!$B$3:$B$504,"社員紹介",応募者データ!$Q$3:$Q$504,"採用辞退")+COUNTIFS(応募者データ!$B$3:$B$504,"社員紹介",応募者データ!$Q$3:$Q$504,"入社辞退")</f>
        <v>0</v>
      </c>
      <c r="H31" s="23">
        <f>COUNTIFS(応募者データ!$B$3:$B$504,"社員紹介",応募者データ!$Q$3:$Q$504,"採用")+COUNTIFS(応募者データ!$B$3:$B$504,"社員紹介",応募者データ!$Q$3:$Q$504,"入社予定")</f>
        <v>0</v>
      </c>
    </row>
    <row r="32" spans="2:8" ht="16.2">
      <c r="B32" s="3" t="s">
        <v>82</v>
      </c>
      <c r="C32" s="4">
        <f>COUNTIFS(応募者データ!$B$3:$B$504,"HP")</f>
        <v>0</v>
      </c>
      <c r="D32" s="4">
        <f>COUNTIFS(応募者データ!$B$3:$B$504,"HP",応募者データ!$K$3:$K$504,"通過")</f>
        <v>0</v>
      </c>
      <c r="E32" s="4">
        <f>COUNTIFS(応募者データ!$B$3:$B$504,"HP",応募者データ!$N$3:$N$504,"面接調整中")+COUNTIFS(応募者データ!$B$3:$B$504,"HP",応募者データ!$N$3:$N$504,"面接日確定")+COUNTIFS(応募者データ!$B$3:$B$504,"HP",応募者データ!$N$3:$N$504,"面接実施済み")</f>
        <v>0</v>
      </c>
      <c r="F32" s="4">
        <f>COUNTIFS(応募者データ!$B$3:$B$504,"HP",応募者データ!$N$3:$N$504,"面接実施済み")</f>
        <v>0</v>
      </c>
      <c r="G32" s="4">
        <f>COUNTIFS(応募者データ!$B$3:$B$504,"HP",応募者データ!$Q$3:$Q$504,"採用")+COUNTIFS(応募者データ!$B$3:$B$504,"HP",応募者データ!$Q$3:$Q$504,"入社予定")+COUNTIFS(応募者データ!$B$3:$B$504,"HP",応募者データ!$Q$3:$Q$504,"採用辞退")+COUNTIFS(応募者データ!$B$3:$B$504,"HP",応募者データ!$Q$3:$Q$504,"入社辞退")</f>
        <v>0</v>
      </c>
      <c r="H32" s="4">
        <f>COUNTIFS(応募者データ!$B$3:$B$504,"HP",応募者データ!$Q$3:$Q$504,"採用")+COUNTIFS(応募者データ!$B$3:$B$504,"HP",応募者データ!$Q$3:$Q$504,"入社予定")</f>
        <v>0</v>
      </c>
    </row>
    <row r="33" spans="2:8" ht="16.2">
      <c r="B33" s="22" t="s">
        <v>83</v>
      </c>
      <c r="C33" s="23">
        <f>COUNTIFS(応募者データ!$B$3:$B$504,"ナリタjobサポート")</f>
        <v>1</v>
      </c>
      <c r="D33" s="23">
        <f>COUNTIFS(応募者データ!$B$3:$B$504,"ナリタjobサポート",応募者データ!$K$3:$K$504,"通過")</f>
        <v>1</v>
      </c>
      <c r="E33" s="23">
        <f>COUNTIFS(応募者データ!$B$3:$B$504,"ナリタjobサポート",応募者データ!$N$3:$N$504,"面接調整中")+COUNTIFS(応募者データ!$B$3:$B$504,"ナリタjobサポート",応募者データ!$N$3:$N$504,"面接日確定")+COUNTIFS(応募者データ!$B$3:$B$504,"ナリタjobサポート",応募者データ!$N$3:$N$504,"面接実施済み")</f>
        <v>1</v>
      </c>
      <c r="F33" s="23">
        <f>COUNTIFS(応募者データ!$B$3:$B$504,"ナリタjobサポート",応募者データ!$N$3:$N$504,"面接実施済み")</f>
        <v>0</v>
      </c>
      <c r="G33" s="23">
        <f>COUNTIFS(応募者データ!$B$3:$B$504,"ナリタjobサポート",応募者データ!$Q$3:$Q$504,"採用")+COUNTIFS(応募者データ!$B$3:$B$504,"ナリタjobサポート",応募者データ!$Q$3:$Q$504,"入社予定")+COUNTIFS(応募者データ!$B$3:$B$504,"ナリタjobサポート",応募者データ!$Q$3:$Q$504,"採用辞退")+COUNTIFS(応募者データ!$B$3:$B$504,"その他",応募者データ!$Q$3:$Q$504,"入社辞退")</f>
        <v>0</v>
      </c>
      <c r="H33" s="23">
        <f>COUNTIFS(応募者データ!$B$3:$B$504,"ナリタjobサポート",応募者データ!$Q$3:$Q$504,"採用")+COUNTIFS(応募者データ!$B$3:$B$504,"ナリタjobサポート",応募者データ!$Q$3:$Q$504,"入社予定")</f>
        <v>0</v>
      </c>
    </row>
    <row r="34" spans="2:8" ht="16.2">
      <c r="B34" s="22" t="s">
        <v>42</v>
      </c>
      <c r="C34" s="23">
        <f>COUNTIFS(応募者データ!$B$3:$B$504,"その他")</f>
        <v>0</v>
      </c>
      <c r="D34" s="23">
        <f>COUNTIFS(応募者データ!$B$3:$B$504,"その他",応募者データ!$K$3:$K$504,"通過")</f>
        <v>0</v>
      </c>
      <c r="E34" s="23">
        <f>COUNTIFS(応募者データ!$B$3:$B$504,"その他",応募者データ!$N$3:$N$504,"面接調整中")+COUNTIFS(応募者データ!$B$3:$B$504,"その他",応募者データ!$N$3:$N$504,"面接日確定")+COUNTIFS(応募者データ!$B$3:$B$504,"その他",応募者データ!$N$3:$N$504,"面接実施済み")</f>
        <v>0</v>
      </c>
      <c r="F34" s="23">
        <f>COUNTIFS(応募者データ!$B$3:$B$504,"その他",応募者データ!$N$3:$N$504,"面接実施済み")</f>
        <v>0</v>
      </c>
      <c r="G34" s="23">
        <f>COUNTIFS(応募者データ!$B$3:$B$504,"その他",応募者データ!$Q$3:$Q$504,"採用")+COUNTIFS(応募者データ!$B$3:$B$504,"その他",応募者データ!$Q$3:$Q$504,"入社予定")+COUNTIFS(応募者データ!$B$3:$B$504,"その他",応募者データ!$Q$3:$Q$504,"採用辞退")+COUNTIFS(応募者データ!$B$3:$B$504,"その他",応募者データ!$Q$3:$Q$504,"入社辞退")</f>
        <v>0</v>
      </c>
      <c r="H34" s="23">
        <f>COUNTIFS(応募者データ!$B$3:$B$504,"その他",応募者データ!$Q$3:$Q$504,"採用")+COUNTIFS(応募者データ!$B$3:$B$504,"その他",応募者データ!$Q$3:$Q$504,"入社予定")</f>
        <v>0</v>
      </c>
    </row>
    <row r="35" spans="2:8" ht="16.2">
      <c r="B35" s="24" t="s">
        <v>23</v>
      </c>
      <c r="C35" s="25">
        <f t="shared" ref="C35:H35" si="2">SUM(C28:C33)</f>
        <v>20</v>
      </c>
      <c r="D35" s="25">
        <f t="shared" si="2"/>
        <v>4</v>
      </c>
      <c r="E35" s="25">
        <f t="shared" si="2"/>
        <v>4</v>
      </c>
      <c r="F35" s="25">
        <f t="shared" si="2"/>
        <v>1</v>
      </c>
      <c r="G35" s="25">
        <f t="shared" si="2"/>
        <v>0</v>
      </c>
      <c r="H35" s="25">
        <f t="shared" si="2"/>
        <v>0</v>
      </c>
    </row>
    <row r="37" spans="2:8" ht="22.2" customHeight="1">
      <c r="B37" s="67" t="s">
        <v>84</v>
      </c>
      <c r="C37" s="51"/>
      <c r="D37" s="51"/>
      <c r="E37" s="51"/>
      <c r="F37" s="51"/>
      <c r="G37" s="51"/>
      <c r="H37" s="51"/>
    </row>
    <row r="38" spans="2:8" ht="16.2">
      <c r="B38" s="2" t="s">
        <v>85</v>
      </c>
      <c r="C38" s="2" t="s">
        <v>11</v>
      </c>
      <c r="D38" s="2" t="s">
        <v>12</v>
      </c>
      <c r="E38" s="2" t="s">
        <v>13</v>
      </c>
      <c r="F38" s="2" t="s">
        <v>14</v>
      </c>
      <c r="G38" s="2" t="s">
        <v>15</v>
      </c>
      <c r="H38" s="2" t="s">
        <v>16</v>
      </c>
    </row>
    <row r="39" spans="2:8" ht="16.2">
      <c r="B39" s="3" t="s">
        <v>21</v>
      </c>
      <c r="C39" s="4">
        <f>COUNTIFS(応募者データ!$C$3:$C$504,"NRT")</f>
        <v>15</v>
      </c>
      <c r="D39" s="4">
        <f>COUNTIFS(応募者データ!$C$3:$C$504,"NRT",応募者データ!$K$3:$K$504,"通過")</f>
        <v>3</v>
      </c>
      <c r="E39" s="4">
        <f>COUNTIFS(応募者データ!$C$3:$C$504,"NRT",応募者データ!$N$3:$N$504,"面接調整中")+COUNTIFS(応募者データ!$C$3:$C$504,"NRT",応募者データ!$N$3:$N$504,"面接日確定")+COUNTIFS(応募者データ!$C$3:$C$504,"NRT",応募者データ!$N$3:$N$504,"面接実施済み")</f>
        <v>3</v>
      </c>
      <c r="F39" s="4">
        <f>COUNTIFS(応募者データ!$C$3:$C$504,"NRT",応募者データ!$N$3:$N$504,"面接実施済み")</f>
        <v>1</v>
      </c>
      <c r="G39" s="4">
        <f>COUNTIFS(応募者データ!$C$3:$C$504,"NRT",応募者データ!$Q$3:$Q$504,"採用")+COUNTIFS(応募者データ!$C$3:$C$504,"NRT",応募者データ!$Q$3:$Q$504,"入社予定")+COUNTIFS(応募者データ!$C$3:$C$504,"NRT",応募者データ!$Q$3:$Q$504,"採用辞退")+COUNTIFS(応募者データ!$C$3:$C$504,"NRT",応募者データ!$Q$3:$Q$504,"入社辞退")</f>
        <v>0</v>
      </c>
      <c r="H39" s="4">
        <f>COUNTIFS(応募者データ!$C$3:$C$504,"NRT",応募者データ!$Q$3:$Q$504,"採用")+COUNTIFS(応募者データ!$C$3:$C$504,"NRT",応募者データ!$Q$3:$Q$504,"入社予定")</f>
        <v>0</v>
      </c>
    </row>
    <row r="40" spans="2:8" ht="16.2">
      <c r="B40" s="3" t="s">
        <v>22</v>
      </c>
      <c r="C40" s="4">
        <f>COUNTIFS(応募者データ!$C$3:$C$504,"CTS")</f>
        <v>5</v>
      </c>
      <c r="D40" s="4">
        <f>COUNTIFS(応募者データ!$C$3:$C$504,"CTS",応募者データ!$K$3:$K$504,"通過")</f>
        <v>1</v>
      </c>
      <c r="E40" s="4">
        <f>COUNTIFS(応募者データ!$C$3:$C$504,"CTS",応募者データ!$N$3:$N$504,"面接調整中")+COUNTIFS(応募者データ!$C$3:$C$504,"CTS",応募者データ!$N$3:$N$504,"面接日確定")+COUNTIFS(応募者データ!$C$3:$C$504,"CTS",応募者データ!$N$3:$N$504,"面接実施済み")</f>
        <v>1</v>
      </c>
      <c r="F40" s="4">
        <f>COUNTIFS(応募者データ!$C$3:$C$504,"CTS",応募者データ!$N$3:$N$504,"面接実施済み")</f>
        <v>0</v>
      </c>
      <c r="G40" s="4">
        <f>COUNTIFS(応募者データ!$C$3:$C$504,"CTS",応募者データ!$Q$3:$Q$504,"採用")+COUNTIFS(応募者データ!$C$3:$C$504,"CTS",応募者データ!$Q$3:$Q$504,"入社予定")+COUNTIFS(応募者データ!$C$3:$C$504,"CTS",応募者データ!$Q$3:$Q$504,"採用辞退")+COUNTIFS(応募者データ!$C$3:$C$504,"CTS",応募者データ!$Q$3:$Q$504,"入社辞退")</f>
        <v>0</v>
      </c>
      <c r="H40" s="4">
        <f>COUNTIFS(応募者データ!$C$3:$C$504,"CTS",応募者データ!$Q$3:$Q$504,"採用")+COUNTIFS(応募者データ!$C$3:$C$504,"CTS",応募者データ!$Q$3:$Q$504,"入社予定")</f>
        <v>0</v>
      </c>
    </row>
    <row r="42" spans="2:8" ht="22.2" customHeight="1">
      <c r="B42" s="67" t="s">
        <v>86</v>
      </c>
      <c r="C42" s="51"/>
      <c r="D42" s="51"/>
      <c r="E42" s="51"/>
      <c r="F42" s="51"/>
      <c r="G42" s="51"/>
      <c r="H42" s="51"/>
    </row>
    <row r="43" spans="2:8" ht="16.2">
      <c r="B43" s="2" t="s">
        <v>18</v>
      </c>
      <c r="C43" s="2" t="s">
        <v>19</v>
      </c>
      <c r="D43" s="2" t="s">
        <v>20</v>
      </c>
      <c r="E43" s="2" t="s">
        <v>9</v>
      </c>
    </row>
    <row r="44" spans="2:8" ht="16.2">
      <c r="B44" s="3" t="s">
        <v>21</v>
      </c>
      <c r="C44" s="4">
        <f>$D$5</f>
        <v>10</v>
      </c>
      <c r="D44" s="4">
        <f>H39</f>
        <v>0</v>
      </c>
      <c r="E44" s="20">
        <f>IFERROR(H39/$D$5,"")</f>
        <v>0</v>
      </c>
    </row>
    <row r="45" spans="2:8" ht="16.2">
      <c r="B45" s="3" t="s">
        <v>22</v>
      </c>
      <c r="C45" s="4">
        <f>$F$5</f>
        <v>10</v>
      </c>
      <c r="D45" s="4">
        <f>H40</f>
        <v>0</v>
      </c>
      <c r="E45" s="20">
        <f>IFERROR(H40/$F$5,"")</f>
        <v>0</v>
      </c>
    </row>
    <row r="46" spans="2:8" ht="16.2">
      <c r="B46" s="24" t="s">
        <v>23</v>
      </c>
      <c r="C46" s="25">
        <f>$H$5</f>
        <v>20</v>
      </c>
      <c r="D46" s="25">
        <f>H39+H40</f>
        <v>0</v>
      </c>
      <c r="E46" s="26">
        <f>IFERROR((H39+H40)/$H$5,"")</f>
        <v>0</v>
      </c>
    </row>
    <row r="48" spans="2:8" ht="22.2" customHeight="1">
      <c r="B48" s="67" t="s">
        <v>87</v>
      </c>
      <c r="C48" s="51"/>
      <c r="D48" s="51"/>
      <c r="E48" s="51"/>
      <c r="F48" s="51"/>
      <c r="G48" s="51"/>
      <c r="H48" s="51"/>
    </row>
    <row r="49" spans="2:4" ht="16.2">
      <c r="B49" s="2" t="s">
        <v>25</v>
      </c>
      <c r="C49" s="2" t="s">
        <v>26</v>
      </c>
      <c r="D49" s="2" t="s">
        <v>88</v>
      </c>
    </row>
    <row r="50" spans="2:4" ht="16.2">
      <c r="B50" s="27" t="s">
        <v>29</v>
      </c>
      <c r="C50" s="4">
        <f>COUNTIF(応募者データ!$G$3:$G$504,"男")</f>
        <v>11</v>
      </c>
      <c r="D50" s="20">
        <f>IFERROR(C50/SUM(C50:C52),"")</f>
        <v>0.55000000000000004</v>
      </c>
    </row>
    <row r="51" spans="2:4" ht="16.2">
      <c r="B51" s="27" t="s">
        <v>31</v>
      </c>
      <c r="C51" s="4">
        <f>COUNTIF(応募者データ!$G$3:$G$504,"女")</f>
        <v>9</v>
      </c>
      <c r="D51" s="20">
        <f>IFERROR(C51/SUM(C50:C52),"")</f>
        <v>0.45</v>
      </c>
    </row>
    <row r="52" spans="2:4" ht="16.2">
      <c r="B52" s="27" t="s">
        <v>39</v>
      </c>
      <c r="C52" s="4">
        <f>COUNTA(応募者データ!$E$3:$E$504)-COUNTIF(応募者データ!$G$3:$G$504,"男")-COUNTIF(応募者データ!$G$3:$G$504,"女")</f>
        <v>0</v>
      </c>
      <c r="D52" s="20">
        <f>IFERROR(C52/SUM(C50:C52),"")</f>
        <v>0</v>
      </c>
    </row>
    <row r="54" spans="2:4" ht="16.2">
      <c r="B54" s="2" t="s">
        <v>28</v>
      </c>
      <c r="C54" s="2" t="s">
        <v>26</v>
      </c>
      <c r="D54" s="2" t="s">
        <v>88</v>
      </c>
    </row>
    <row r="55" spans="2:4" ht="16.2">
      <c r="B55" s="27" t="s">
        <v>30</v>
      </c>
      <c r="C55" s="4">
        <f>COUNTIF(応募者データ!$H$3:$H$504,"日本")</f>
        <v>16</v>
      </c>
      <c r="D55" s="20">
        <f>IFERROR(C55/SUM(C55:C57),"")</f>
        <v>0.8</v>
      </c>
    </row>
    <row r="56" spans="2:4" ht="16.2">
      <c r="B56" s="27" t="s">
        <v>32</v>
      </c>
      <c r="C56" s="4">
        <f>COUNTIF(応募者データ!$H$3:$H$504,"外国籍")</f>
        <v>4</v>
      </c>
      <c r="D56" s="20">
        <f>IFERROR(C56/SUM(C55:C57),"")</f>
        <v>0.2</v>
      </c>
    </row>
    <row r="57" spans="2:4" ht="16.2">
      <c r="B57" s="27" t="s">
        <v>39</v>
      </c>
      <c r="C57" s="4">
        <f>COUNTA(応募者データ!$E$3:$E$504)-COUNTIF(応募者データ!$H$3:$H$504,"日本")-COUNTIF(応募者データ!$H$3:$H$504,"外国籍")</f>
        <v>0</v>
      </c>
      <c r="D57" s="20">
        <f>IFERROR(C57/SUM(C55:C57),"")</f>
        <v>0</v>
      </c>
    </row>
    <row r="59" spans="2:4" ht="16.2">
      <c r="B59" s="2" t="s">
        <v>33</v>
      </c>
      <c r="C59" s="2" t="s">
        <v>26</v>
      </c>
      <c r="D59" s="2" t="s">
        <v>88</v>
      </c>
    </row>
    <row r="60" spans="2:4" ht="16.2">
      <c r="B60" s="27" t="s">
        <v>35</v>
      </c>
      <c r="C60" s="4">
        <f>COUNTIF(応募者データ!$I$3:$I$504,"経験者")</f>
        <v>1</v>
      </c>
      <c r="D60" s="20">
        <f>IFERROR(C60/SUM(C60:C62),"")</f>
        <v>0.05</v>
      </c>
    </row>
    <row r="61" spans="2:4" ht="16.2">
      <c r="B61" s="27" t="s">
        <v>37</v>
      </c>
      <c r="C61" s="4">
        <f>COUNTIF(応募者データ!$I$3:$I$504,"未経験者")</f>
        <v>19</v>
      </c>
      <c r="D61" s="20">
        <f>IFERROR(C61/SUM(C60:C62),"")</f>
        <v>0.95</v>
      </c>
    </row>
    <row r="62" spans="2:4" ht="16.2">
      <c r="B62" s="27" t="s">
        <v>39</v>
      </c>
      <c r="C62" s="4">
        <f>COUNTA(応募者データ!$E$3:$E$504)-COUNTIF(応募者データ!$I$3:$I$504,"経験者")-COUNTIF(応募者データ!$I$3:$I$504,"未経験者")</f>
        <v>0</v>
      </c>
      <c r="D62" s="20">
        <f>IFERROR(C62/SUM(C60:C62),"")</f>
        <v>0</v>
      </c>
    </row>
    <row r="64" spans="2:4" ht="16.2">
      <c r="B64" s="2" t="s">
        <v>34</v>
      </c>
      <c r="C64" s="2" t="s">
        <v>26</v>
      </c>
      <c r="D64" s="2" t="s">
        <v>88</v>
      </c>
    </row>
    <row r="65" spans="2:4" ht="16.2">
      <c r="B65" s="27" t="s">
        <v>36</v>
      </c>
      <c r="C65" s="4">
        <f>COUNTIF(応募者データ!$J$3:$J$504,"学生")</f>
        <v>0</v>
      </c>
      <c r="D65" s="20">
        <f>IFERROR(C65/SUM(C65:C70),"")</f>
        <v>0</v>
      </c>
    </row>
    <row r="66" spans="2:4" ht="16.2">
      <c r="B66" s="27" t="s">
        <v>38</v>
      </c>
      <c r="C66" s="4">
        <f>COUNTIF(応募者データ!$J$3:$J$504,"フリーター")</f>
        <v>0</v>
      </c>
      <c r="D66" s="20">
        <f>IFERROR(C66/SUM(C65:C70),"")</f>
        <v>0</v>
      </c>
    </row>
    <row r="67" spans="2:4" ht="16.2">
      <c r="B67" s="27" t="s">
        <v>40</v>
      </c>
      <c r="C67" s="4">
        <f>COUNTIF(応募者データ!$J$3:$J$504,"社会人")</f>
        <v>0</v>
      </c>
      <c r="D67" s="20">
        <f>IFERROR(C67/SUM(C65:C70),"")</f>
        <v>0</v>
      </c>
    </row>
    <row r="68" spans="2:4" ht="16.2">
      <c r="B68" s="27" t="s">
        <v>41</v>
      </c>
      <c r="C68" s="4">
        <f>COUNTIF(応募者データ!$J$3:$J$504,"主婦・主夫")</f>
        <v>2</v>
      </c>
      <c r="D68" s="20">
        <f>IFERROR(C68/SUM(C65:C70),"")</f>
        <v>0.1</v>
      </c>
    </row>
    <row r="69" spans="2:4" ht="16.2">
      <c r="B69" s="27" t="s">
        <v>42</v>
      </c>
      <c r="C69" s="4">
        <f>COUNTIF(応募者データ!$J$3:$J$504,"その他")</f>
        <v>4</v>
      </c>
      <c r="D69" s="20">
        <f>IFERROR(C69/SUM(C65:C70),"")</f>
        <v>0.2</v>
      </c>
    </row>
    <row r="70" spans="2:4" ht="16.2">
      <c r="B70" s="27" t="s">
        <v>39</v>
      </c>
      <c r="C70" s="4">
        <f>COUNTA(応募者データ!$E$3:$E$504)-COUNTIF(応募者データ!$J$3:$J$504,"学生")-COUNTIF(応募者データ!$J$3:$J$504,"フリーター")-COUNTIF(応募者データ!$J$3:$J$504,"社会人")-COUNTIF(応募者データ!$J$3:$J$504,"主婦・主夫")-COUNTIF(応募者データ!$J$3:$J$504,"その他")</f>
        <v>14</v>
      </c>
      <c r="D70" s="20">
        <f>IFERROR(C70/SUM(C65:C70),"")</f>
        <v>0.7</v>
      </c>
    </row>
    <row r="72" spans="2:4" ht="16.2">
      <c r="B72" s="2" t="s">
        <v>43</v>
      </c>
      <c r="C72" s="2" t="s">
        <v>26</v>
      </c>
      <c r="D72" s="2" t="s">
        <v>88</v>
      </c>
    </row>
    <row r="73" spans="2:4" ht="16.2">
      <c r="B73" s="27" t="s">
        <v>89</v>
      </c>
      <c r="C73" s="4">
        <f>COUNTIF(応募者データ!$F$3:$F$504,"&lt;=19")</f>
        <v>4</v>
      </c>
      <c r="D73" s="20">
        <f>IFERROR(C73/SUM(C73:C78),"")</f>
        <v>0.2</v>
      </c>
    </row>
    <row r="74" spans="2:4" ht="16.2">
      <c r="B74" s="27" t="s">
        <v>45</v>
      </c>
      <c r="C74" s="4">
        <f>COUNTIFS(応募者データ!$F$3:$F$504,"&gt;=20",応募者データ!$F$3:$F$504,"&lt;=29")</f>
        <v>8</v>
      </c>
      <c r="D74" s="20">
        <f>IFERROR(C74/SUM(C73:C78),"")</f>
        <v>0.4</v>
      </c>
    </row>
    <row r="75" spans="2:4" ht="16.2">
      <c r="B75" s="27" t="s">
        <v>46</v>
      </c>
      <c r="C75" s="4">
        <f>COUNTIFS(応募者データ!$F$3:$F$504,"&gt;=30",応募者データ!$F$3:$F$504,"&lt;=39")</f>
        <v>2</v>
      </c>
      <c r="D75" s="20">
        <f>IFERROR(C75/SUM(C73:C78),"")</f>
        <v>0.1</v>
      </c>
    </row>
    <row r="76" spans="2:4" ht="16.2">
      <c r="B76" s="27" t="s">
        <v>47</v>
      </c>
      <c r="C76" s="4">
        <f>COUNTIFS(応募者データ!$F$3:$F$504,"&gt;=40",応募者データ!$F$3:$F$504,"&lt;=49")</f>
        <v>0</v>
      </c>
      <c r="D76" s="20">
        <f>IFERROR(C76/SUM(C73:C78),"")</f>
        <v>0</v>
      </c>
    </row>
    <row r="77" spans="2:4" ht="16.2">
      <c r="B77" s="27" t="s">
        <v>48</v>
      </c>
      <c r="C77" s="4">
        <f>COUNTIFS(応募者データ!$F$3:$F$504,"&gt;=50",応募者データ!$F$3:$F$504,"&lt;=59")</f>
        <v>1</v>
      </c>
      <c r="D77" s="20">
        <f>IFERROR(C77/SUM(C73:C78),"")</f>
        <v>0.05</v>
      </c>
    </row>
    <row r="78" spans="2:4" ht="16.2">
      <c r="B78" s="27" t="s">
        <v>90</v>
      </c>
      <c r="C78" s="4">
        <f>COUNTIF(応募者データ!$F$3:$F$504,"&gt;=60")</f>
        <v>5</v>
      </c>
      <c r="D78" s="20">
        <f>IFERROR(C78/SUM(C73:C78),"")</f>
        <v>0.25</v>
      </c>
    </row>
    <row r="81" spans="2:8" ht="16.2">
      <c r="B81" s="68" t="s">
        <v>91</v>
      </c>
      <c r="C81" s="51"/>
      <c r="D81" s="51"/>
      <c r="E81" s="51"/>
      <c r="F81" s="51"/>
      <c r="G81" s="51"/>
      <c r="H81" s="51"/>
    </row>
    <row r="82" spans="2:8">
      <c r="B82" s="65" t="s">
        <v>92</v>
      </c>
      <c r="C82" s="51"/>
      <c r="D82" s="51"/>
      <c r="E82" s="51"/>
      <c r="F82" s="51"/>
      <c r="G82" s="51"/>
      <c r="H82" s="51"/>
    </row>
    <row r="83" spans="2:8">
      <c r="B83" s="65" t="s">
        <v>93</v>
      </c>
      <c r="C83" s="51"/>
      <c r="D83" s="51"/>
      <c r="E83" s="51"/>
      <c r="F83" s="51"/>
      <c r="G83" s="51"/>
      <c r="H83" s="51"/>
    </row>
    <row r="84" spans="2:8">
      <c r="B84" s="65" t="s">
        <v>94</v>
      </c>
      <c r="C84" s="51"/>
      <c r="D84" s="51"/>
      <c r="E84" s="51"/>
      <c r="F84" s="51"/>
      <c r="G84" s="51"/>
      <c r="H84" s="51"/>
    </row>
    <row r="85" spans="2:8">
      <c r="B85" s="65" t="s">
        <v>95</v>
      </c>
      <c r="C85" s="51"/>
      <c r="D85" s="51"/>
      <c r="E85" s="51"/>
      <c r="F85" s="51"/>
      <c r="G85" s="51"/>
      <c r="H85" s="51"/>
    </row>
    <row r="86" spans="2:8">
      <c r="B86" s="65" t="s">
        <v>96</v>
      </c>
      <c r="C86" s="51"/>
      <c r="D86" s="51"/>
      <c r="E86" s="51"/>
      <c r="F86" s="51"/>
      <c r="G86" s="51"/>
      <c r="H86" s="51"/>
    </row>
  </sheetData>
  <mergeCells count="20">
    <mergeCell ref="B2:H2"/>
    <mergeCell ref="B1:H1"/>
    <mergeCell ref="B83:H83"/>
    <mergeCell ref="B4:H4"/>
    <mergeCell ref="D20:G20"/>
    <mergeCell ref="B48:H48"/>
    <mergeCell ref="B82:H82"/>
    <mergeCell ref="D22:G22"/>
    <mergeCell ref="B18:H18"/>
    <mergeCell ref="D21:G21"/>
    <mergeCell ref="B9:H9"/>
    <mergeCell ref="B86:H86"/>
    <mergeCell ref="D23:G23"/>
    <mergeCell ref="B37:H37"/>
    <mergeCell ref="B26:H26"/>
    <mergeCell ref="B42:H42"/>
    <mergeCell ref="B85:H85"/>
    <mergeCell ref="B84:H84"/>
    <mergeCell ref="D24:G24"/>
    <mergeCell ref="B81:H81"/>
  </mergeCells>
  <phoneticPr fontId="23"/>
  <conditionalFormatting sqref="E11:E16">
    <cfRule type="cellIs" dxfId="7" priority="1" operator="greaterThanOrEqual">
      <formula>1</formula>
    </cfRule>
    <cfRule type="cellIs" dxfId="6" priority="2" operator="between">
      <formula>0.7</formula>
      <formula>0.9999</formula>
    </cfRule>
    <cfRule type="cellIs" dxfId="5" priority="3" operator="lessThan">
      <formula>0.7</formula>
    </cfRule>
  </conditionalFormatting>
  <conditionalFormatting sqref="E44:E46">
    <cfRule type="cellIs" dxfId="4" priority="6" operator="greaterThanOrEqual">
      <formula>1</formula>
    </cfRule>
    <cfRule type="cellIs" dxfId="3" priority="7" operator="between">
      <formula>0.7</formula>
      <formula>0.9999</formula>
    </cfRule>
    <cfRule type="cellIs" dxfId="2" priority="8" operator="lessThan">
      <formula>0.7</formula>
    </cfRule>
  </conditionalFormatting>
  <conditionalFormatting sqref="G11:G16">
    <cfRule type="cellIs" dxfId="1" priority="4" operator="greaterThan">
      <formula>0</formula>
    </cfRule>
    <cfRule type="cellIs" dxfId="0" priority="5" operator="lessThan">
      <formula>0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"/>
  <sheetViews>
    <sheetView workbookViewId="0">
      <pane ySplit="3" topLeftCell="A4" activePane="bottomLeft" state="frozen"/>
      <selection pane="bottomLeft" activeCell="A17" sqref="A17"/>
    </sheetView>
  </sheetViews>
  <sheetFormatPr defaultRowHeight="13.2"/>
  <cols>
    <col min="1" max="1" width="13" customWidth="1"/>
    <col min="2" max="5" width="9" customWidth="1"/>
    <col min="6" max="7" width="7" customWidth="1"/>
    <col min="8" max="8" width="12" customWidth="1"/>
    <col min="9" max="9" width="30" customWidth="1"/>
    <col min="11" max="11" width="14" customWidth="1"/>
    <col min="12" max="12" width="9" customWidth="1"/>
  </cols>
  <sheetData>
    <row r="1" spans="1:12" ht="24" customHeight="1">
      <c r="A1" s="71" t="s">
        <v>97</v>
      </c>
      <c r="B1" s="51"/>
      <c r="C1" s="51"/>
      <c r="D1" s="51"/>
      <c r="E1" s="51"/>
      <c r="F1" s="51"/>
      <c r="G1" s="51"/>
      <c r="H1" s="51"/>
      <c r="I1" s="51"/>
    </row>
    <row r="2" spans="1:12" ht="30" customHeight="1">
      <c r="A2" s="72" t="s">
        <v>98</v>
      </c>
      <c r="B2" s="51"/>
      <c r="C2" s="51"/>
      <c r="D2" s="51"/>
      <c r="E2" s="51"/>
      <c r="F2" s="51"/>
      <c r="G2" s="51"/>
      <c r="H2" s="51"/>
      <c r="I2" s="51"/>
    </row>
    <row r="3" spans="1:12" ht="16.2">
      <c r="A3" s="25" t="s">
        <v>99</v>
      </c>
      <c r="B3" s="25" t="s">
        <v>11</v>
      </c>
      <c r="C3" s="25" t="s">
        <v>12</v>
      </c>
      <c r="D3" s="25" t="s">
        <v>13</v>
      </c>
      <c r="E3" s="25" t="s">
        <v>14</v>
      </c>
      <c r="F3" s="25" t="s">
        <v>15</v>
      </c>
      <c r="G3" s="25" t="s">
        <v>16</v>
      </c>
      <c r="H3" s="25" t="s">
        <v>100</v>
      </c>
      <c r="I3" s="25" t="s">
        <v>101</v>
      </c>
      <c r="K3" s="73" t="s">
        <v>102</v>
      </c>
      <c r="L3" s="51"/>
    </row>
    <row r="4" spans="1:12" ht="14.4" customHeight="1">
      <c r="A4" s="33">
        <v>46230</v>
      </c>
      <c r="B4" s="34">
        <v>1</v>
      </c>
      <c r="C4" s="34">
        <v>0</v>
      </c>
      <c r="D4" s="34">
        <v>0</v>
      </c>
      <c r="E4" s="34">
        <v>0</v>
      </c>
      <c r="F4" s="34">
        <v>0</v>
      </c>
      <c r="G4" s="34">
        <v>0</v>
      </c>
      <c r="H4" s="34" t="s">
        <v>103</v>
      </c>
      <c r="I4" s="35" t="s">
        <v>104</v>
      </c>
      <c r="K4" s="28" t="s">
        <v>11</v>
      </c>
      <c r="L4" s="4">
        <f>COUNTA(応募者データ!$E$3:$E$504)</f>
        <v>20</v>
      </c>
    </row>
    <row r="5" spans="1:12" ht="14.4" customHeight="1">
      <c r="A5" s="33">
        <v>46231</v>
      </c>
      <c r="B5" s="34">
        <v>2</v>
      </c>
      <c r="C5" s="34">
        <v>0</v>
      </c>
      <c r="D5" s="34">
        <v>0</v>
      </c>
      <c r="E5" s="34">
        <v>0</v>
      </c>
      <c r="F5" s="34">
        <v>0</v>
      </c>
      <c r="G5" s="34">
        <v>0</v>
      </c>
      <c r="H5" s="34" t="s">
        <v>103</v>
      </c>
      <c r="I5" s="35"/>
      <c r="K5" s="28" t="s">
        <v>12</v>
      </c>
      <c r="L5" s="4">
        <f>COUNTIF(応募者データ!$K$3:$K$504,"通過")</f>
        <v>4</v>
      </c>
    </row>
    <row r="6" spans="1:12" ht="14.4" customHeight="1">
      <c r="A6" s="33">
        <v>46232</v>
      </c>
      <c r="B6" s="34">
        <v>1</v>
      </c>
      <c r="C6" s="34">
        <v>1</v>
      </c>
      <c r="D6" s="34">
        <v>0</v>
      </c>
      <c r="E6" s="34">
        <v>0</v>
      </c>
      <c r="F6" s="34">
        <v>0</v>
      </c>
      <c r="G6" s="34">
        <v>0</v>
      </c>
      <c r="H6" s="34" t="s">
        <v>103</v>
      </c>
      <c r="I6" s="35"/>
      <c r="K6" s="28" t="s">
        <v>13</v>
      </c>
      <c r="L6" s="4">
        <f>COUNTIF(応募者データ!$N$3:$N$504,"面接調整中")+COUNTIF(応募者データ!$N$3:$N$504,"面接日確定")+COUNTIF(応募者データ!$N$3:$N$504,"面接実施済み")</f>
        <v>4</v>
      </c>
    </row>
    <row r="7" spans="1:12" ht="14.4" customHeight="1">
      <c r="A7" s="33">
        <v>46233</v>
      </c>
      <c r="B7" s="34">
        <v>5</v>
      </c>
      <c r="C7" s="34">
        <v>1</v>
      </c>
      <c r="D7" s="34">
        <v>0</v>
      </c>
      <c r="E7" s="34">
        <v>0</v>
      </c>
      <c r="F7" s="34">
        <v>0</v>
      </c>
      <c r="G7" s="34">
        <v>0</v>
      </c>
      <c r="H7" s="34" t="s">
        <v>103</v>
      </c>
      <c r="I7" s="34"/>
      <c r="K7" s="28" t="s">
        <v>14</v>
      </c>
      <c r="L7" s="4">
        <f>COUNTIF(応募者データ!$N$3:$N$504,"面接実施済み")</f>
        <v>1</v>
      </c>
    </row>
    <row r="8" spans="1:12" ht="14.4" customHeight="1">
      <c r="A8" s="33">
        <v>46234</v>
      </c>
      <c r="B8" s="34">
        <v>0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 t="s">
        <v>103</v>
      </c>
      <c r="I8" s="34"/>
      <c r="K8" s="28" t="s">
        <v>15</v>
      </c>
      <c r="L8" s="4">
        <f>COUNTIF(応募者データ!$Q$3:$Q$504,"採用")+COUNTIF(応募者データ!$Q$3:$Q$504,"入社予定")+COUNTIF(応募者データ!$Q$3:$Q$504,"採用辞退")+COUNTIF(応募者データ!$Q$3:$Q$504,"入社辞退")</f>
        <v>0</v>
      </c>
    </row>
    <row r="9" spans="1:12" ht="14.4" customHeight="1">
      <c r="A9" s="33">
        <v>46235</v>
      </c>
      <c r="B9" s="34">
        <v>0</v>
      </c>
      <c r="C9" s="34">
        <v>0</v>
      </c>
      <c r="D9" s="34">
        <v>0</v>
      </c>
      <c r="E9" s="34">
        <v>0</v>
      </c>
      <c r="F9" s="34">
        <v>0</v>
      </c>
      <c r="G9" s="34">
        <v>0</v>
      </c>
      <c r="H9" s="34" t="s">
        <v>103</v>
      </c>
      <c r="I9" s="34"/>
      <c r="K9" s="28" t="s">
        <v>16</v>
      </c>
      <c r="L9" s="4">
        <f>COUNTIF(応募者データ!$Q$3:$Q$504,"採用")+COUNTIF(応募者データ!$Q$3:$Q$504,"入社予定")</f>
        <v>0</v>
      </c>
    </row>
    <row r="10" spans="1:12" ht="14.4" customHeight="1">
      <c r="A10" s="33">
        <v>46236</v>
      </c>
      <c r="B10" s="34">
        <v>3</v>
      </c>
      <c r="C10" s="34">
        <v>0</v>
      </c>
      <c r="D10" s="34">
        <v>0</v>
      </c>
      <c r="E10" s="34">
        <v>0</v>
      </c>
      <c r="F10" s="34">
        <v>0</v>
      </c>
      <c r="G10" s="34">
        <v>0</v>
      </c>
      <c r="H10" s="34" t="s">
        <v>103</v>
      </c>
      <c r="I10" s="34"/>
    </row>
    <row r="11" spans="1:12" ht="14.4" customHeight="1">
      <c r="A11" s="33">
        <v>46237</v>
      </c>
      <c r="B11" s="34">
        <v>2</v>
      </c>
      <c r="C11" s="34">
        <v>1</v>
      </c>
      <c r="D11" s="34">
        <v>1</v>
      </c>
      <c r="E11" s="34">
        <v>0</v>
      </c>
      <c r="F11" s="34">
        <v>0</v>
      </c>
      <c r="G11" s="34">
        <v>0</v>
      </c>
      <c r="H11" s="34" t="s">
        <v>103</v>
      </c>
      <c r="I11" s="34"/>
    </row>
    <row r="12" spans="1:12" ht="14.4" customHeight="1">
      <c r="A12" s="33">
        <v>46238</v>
      </c>
      <c r="B12" s="34">
        <v>0</v>
      </c>
      <c r="C12" s="34">
        <v>0</v>
      </c>
      <c r="D12" s="34">
        <v>0</v>
      </c>
      <c r="E12" s="34">
        <v>1</v>
      </c>
      <c r="F12" s="34">
        <v>0</v>
      </c>
      <c r="G12" s="34">
        <v>0</v>
      </c>
      <c r="H12" s="34" t="s">
        <v>103</v>
      </c>
      <c r="I12" s="34"/>
    </row>
    <row r="13" spans="1:12" ht="14.4" customHeight="1">
      <c r="A13" s="33">
        <v>46239</v>
      </c>
      <c r="B13" s="34">
        <v>0</v>
      </c>
      <c r="C13" s="34">
        <v>0</v>
      </c>
      <c r="D13" s="34">
        <v>0</v>
      </c>
      <c r="E13" s="34">
        <v>0</v>
      </c>
      <c r="F13" s="34">
        <v>0</v>
      </c>
      <c r="G13" s="34">
        <v>0</v>
      </c>
      <c r="H13" s="34" t="s">
        <v>103</v>
      </c>
      <c r="I13" s="34"/>
    </row>
    <row r="14" spans="1:12" ht="14.4" customHeight="1">
      <c r="A14" s="33">
        <v>46240</v>
      </c>
      <c r="B14" s="34">
        <v>1</v>
      </c>
      <c r="C14" s="34">
        <v>0</v>
      </c>
      <c r="D14" s="34">
        <v>0</v>
      </c>
      <c r="E14" s="34">
        <v>0</v>
      </c>
      <c r="F14" s="34">
        <v>0</v>
      </c>
      <c r="G14" s="34">
        <v>0</v>
      </c>
      <c r="H14" s="34" t="s">
        <v>103</v>
      </c>
      <c r="I14" s="34"/>
    </row>
    <row r="15" spans="1:12" ht="14.4" customHeight="1">
      <c r="A15" s="33"/>
      <c r="B15" s="34"/>
      <c r="C15" s="34"/>
      <c r="D15" s="34"/>
      <c r="E15" s="34"/>
      <c r="F15" s="34"/>
      <c r="G15" s="34"/>
      <c r="H15" s="34"/>
      <c r="I15" s="34"/>
    </row>
    <row r="16" spans="1:12" ht="14.4" customHeight="1">
      <c r="A16" s="33"/>
      <c r="B16" s="34"/>
      <c r="C16" s="34"/>
      <c r="D16" s="34"/>
      <c r="E16" s="34"/>
      <c r="F16" s="34"/>
      <c r="G16" s="34"/>
      <c r="H16" s="34"/>
      <c r="I16" s="34"/>
    </row>
    <row r="17" spans="1:9" ht="14.4" customHeight="1">
      <c r="A17" s="33"/>
      <c r="B17" s="34"/>
      <c r="C17" s="34"/>
      <c r="D17" s="34"/>
      <c r="E17" s="34"/>
      <c r="F17" s="34"/>
      <c r="G17" s="34"/>
      <c r="H17" s="34"/>
      <c r="I17" s="34"/>
    </row>
    <row r="18" spans="1:9" ht="14.4" customHeight="1">
      <c r="A18" s="34"/>
      <c r="B18" s="34"/>
      <c r="C18" s="34"/>
      <c r="D18" s="34"/>
      <c r="E18" s="34"/>
      <c r="F18" s="34"/>
      <c r="G18" s="34"/>
      <c r="H18" s="34"/>
      <c r="I18" s="34"/>
    </row>
    <row r="19" spans="1:9" ht="14.4" customHeight="1">
      <c r="A19" s="34"/>
      <c r="B19" s="34"/>
      <c r="C19" s="34"/>
      <c r="D19" s="34"/>
      <c r="E19" s="34"/>
      <c r="F19" s="34"/>
      <c r="G19" s="34"/>
      <c r="H19" s="34"/>
      <c r="I19" s="34"/>
    </row>
    <row r="20" spans="1:9">
      <c r="A20" s="29"/>
      <c r="B20" s="1"/>
      <c r="C20" s="1"/>
      <c r="D20" s="1"/>
      <c r="E20" s="1"/>
      <c r="F20" s="1"/>
      <c r="G20" s="1"/>
      <c r="H20" s="1"/>
      <c r="I20" s="1"/>
    </row>
    <row r="21" spans="1:9">
      <c r="A21" s="29"/>
      <c r="B21" s="1"/>
      <c r="C21" s="1"/>
      <c r="D21" s="1"/>
      <c r="E21" s="1"/>
      <c r="F21" s="1"/>
      <c r="G21" s="1"/>
      <c r="H21" s="1"/>
      <c r="I21" s="1"/>
    </row>
    <row r="22" spans="1:9">
      <c r="A22" s="29"/>
      <c r="B22" s="1"/>
      <c r="C22" s="1"/>
      <c r="D22" s="1"/>
      <c r="E22" s="1"/>
      <c r="F22" s="1"/>
      <c r="G22" s="1"/>
      <c r="H22" s="1"/>
      <c r="I22" s="1"/>
    </row>
    <row r="23" spans="1:9">
      <c r="A23" s="29"/>
      <c r="B23" s="1"/>
      <c r="C23" s="1"/>
      <c r="D23" s="1"/>
      <c r="E23" s="1"/>
      <c r="F23" s="1"/>
      <c r="G23" s="1"/>
      <c r="H23" s="1"/>
      <c r="I23" s="1"/>
    </row>
    <row r="24" spans="1:9">
      <c r="A24" s="29"/>
      <c r="B24" s="1"/>
      <c r="C24" s="1"/>
      <c r="D24" s="1"/>
      <c r="E24" s="1"/>
      <c r="F24" s="1"/>
      <c r="G24" s="1"/>
      <c r="H24" s="1"/>
      <c r="I24" s="1"/>
    </row>
    <row r="25" spans="1:9">
      <c r="A25" s="29"/>
      <c r="B25" s="1"/>
      <c r="C25" s="1"/>
      <c r="D25" s="1"/>
      <c r="E25" s="1"/>
      <c r="F25" s="1"/>
      <c r="G25" s="1"/>
      <c r="H25" s="1"/>
      <c r="I25" s="1"/>
    </row>
    <row r="26" spans="1:9">
      <c r="A26" s="29"/>
      <c r="B26" s="1"/>
      <c r="C26" s="1"/>
      <c r="D26" s="1"/>
      <c r="E26" s="1"/>
      <c r="F26" s="1"/>
      <c r="G26" s="1"/>
      <c r="H26" s="1"/>
      <c r="I26" s="1"/>
    </row>
  </sheetData>
  <mergeCells count="3">
    <mergeCell ref="A1:I1"/>
    <mergeCell ref="A2:I2"/>
    <mergeCell ref="K3:L3"/>
  </mergeCells>
  <phoneticPr fontId="23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49"/>
  <sheetViews>
    <sheetView workbookViewId="0">
      <pane ySplit="2" topLeftCell="A27" activePane="bottomLeft" state="frozen"/>
      <selection pane="bottomLeft" activeCell="E49" sqref="E48:E49"/>
    </sheetView>
  </sheetViews>
  <sheetFormatPr defaultRowHeight="13.5" customHeight="1"/>
  <cols>
    <col min="1" max="1" width="5" customWidth="1"/>
    <col min="2" max="2" width="20.33203125" customWidth="1"/>
    <col min="3" max="3" width="7" customWidth="1"/>
    <col min="4" max="4" width="20.44140625" customWidth="1"/>
    <col min="5" max="5" width="29.5546875" customWidth="1"/>
    <col min="6" max="7" width="6" customWidth="1"/>
    <col min="8" max="8" width="8" customWidth="1"/>
    <col min="9" max="9" width="9" customWidth="1"/>
    <col min="10" max="10" width="12.6640625" customWidth="1"/>
    <col min="11" max="11" width="10" customWidth="1"/>
    <col min="12" max="12" width="13.33203125" customWidth="1"/>
    <col min="13" max="13" width="12" customWidth="1"/>
    <col min="14" max="16" width="14" customWidth="1"/>
    <col min="17" max="17" width="10" customWidth="1"/>
    <col min="18" max="20" width="13.6640625" customWidth="1"/>
    <col min="21" max="21" width="26" customWidth="1"/>
  </cols>
  <sheetData>
    <row r="1" spans="1:21" ht="24" customHeight="1">
      <c r="A1" s="71" t="s">
        <v>105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</row>
    <row r="2" spans="1:21" ht="16.2">
      <c r="A2" s="25" t="s">
        <v>106</v>
      </c>
      <c r="B2" s="25" t="s">
        <v>77</v>
      </c>
      <c r="C2" s="25" t="s">
        <v>85</v>
      </c>
      <c r="D2" s="25" t="s">
        <v>107</v>
      </c>
      <c r="E2" s="25" t="s">
        <v>108</v>
      </c>
      <c r="F2" s="25" t="s">
        <v>109</v>
      </c>
      <c r="G2" s="25" t="s">
        <v>110</v>
      </c>
      <c r="H2" s="25" t="s">
        <v>28</v>
      </c>
      <c r="I2" s="25" t="s">
        <v>33</v>
      </c>
      <c r="J2" s="25" t="s">
        <v>111</v>
      </c>
      <c r="K2" s="25" t="s">
        <v>112</v>
      </c>
      <c r="L2" s="25" t="s">
        <v>113</v>
      </c>
      <c r="M2" s="25" t="s">
        <v>114</v>
      </c>
      <c r="N2" s="25" t="s">
        <v>115</v>
      </c>
      <c r="O2" s="25" t="s">
        <v>116</v>
      </c>
      <c r="P2" s="25" t="s">
        <v>117</v>
      </c>
      <c r="Q2" s="25" t="s">
        <v>118</v>
      </c>
      <c r="R2" s="25" t="s">
        <v>119</v>
      </c>
      <c r="S2" s="25" t="s">
        <v>120</v>
      </c>
      <c r="T2" s="25" t="s">
        <v>121</v>
      </c>
      <c r="U2" s="25" t="s">
        <v>101</v>
      </c>
    </row>
    <row r="3" spans="1:21" ht="41.25" customHeight="1">
      <c r="A3" s="4">
        <v>1</v>
      </c>
      <c r="B3" s="4" t="s">
        <v>78</v>
      </c>
      <c r="C3" s="4" t="s">
        <v>122</v>
      </c>
      <c r="D3" s="30">
        <v>46227</v>
      </c>
      <c r="E3" s="27" t="s">
        <v>123</v>
      </c>
      <c r="F3" s="4">
        <v>73</v>
      </c>
      <c r="G3" s="4" t="s">
        <v>29</v>
      </c>
      <c r="H3" s="4" t="s">
        <v>30</v>
      </c>
      <c r="I3" s="4" t="s">
        <v>37</v>
      </c>
      <c r="J3" s="4" t="s">
        <v>41</v>
      </c>
      <c r="K3" s="4" t="s">
        <v>124</v>
      </c>
      <c r="L3" s="4" t="s">
        <v>125</v>
      </c>
      <c r="M3" s="27" t="s">
        <v>109</v>
      </c>
      <c r="N3" s="4" t="s">
        <v>126</v>
      </c>
      <c r="O3" s="4"/>
      <c r="P3" s="27"/>
      <c r="Q3" s="4" t="s">
        <v>127</v>
      </c>
      <c r="R3" s="4"/>
      <c r="S3" s="4"/>
      <c r="T3" s="4"/>
      <c r="U3" s="27"/>
    </row>
    <row r="4" spans="1:21" ht="41.25" customHeight="1">
      <c r="A4" s="4">
        <v>2</v>
      </c>
      <c r="B4" s="4" t="s">
        <v>78</v>
      </c>
      <c r="C4" s="4" t="s">
        <v>122</v>
      </c>
      <c r="D4" s="30">
        <v>46230</v>
      </c>
      <c r="E4" s="27" t="s">
        <v>128</v>
      </c>
      <c r="F4" s="4">
        <v>63</v>
      </c>
      <c r="G4" s="4" t="s">
        <v>31</v>
      </c>
      <c r="H4" s="4" t="s">
        <v>30</v>
      </c>
      <c r="I4" s="4" t="s">
        <v>37</v>
      </c>
      <c r="J4" s="4" t="s">
        <v>129</v>
      </c>
      <c r="K4" s="4" t="s">
        <v>124</v>
      </c>
      <c r="L4" s="4" t="s">
        <v>125</v>
      </c>
      <c r="M4" s="27" t="s">
        <v>109</v>
      </c>
      <c r="N4" s="4" t="s">
        <v>126</v>
      </c>
      <c r="O4" s="4"/>
      <c r="P4" s="27"/>
      <c r="Q4" s="4" t="s">
        <v>127</v>
      </c>
      <c r="R4" s="4"/>
      <c r="S4" s="4"/>
      <c r="T4" s="4"/>
      <c r="U4" s="27"/>
    </row>
    <row r="5" spans="1:21" ht="41.25" customHeight="1">
      <c r="A5" s="4">
        <v>3</v>
      </c>
      <c r="B5" s="4" t="s">
        <v>78</v>
      </c>
      <c r="C5" s="4" t="s">
        <v>122</v>
      </c>
      <c r="D5" s="30">
        <v>46231</v>
      </c>
      <c r="E5" s="27" t="s">
        <v>130</v>
      </c>
      <c r="F5" s="4">
        <v>76</v>
      </c>
      <c r="G5" s="4" t="s">
        <v>29</v>
      </c>
      <c r="H5" s="4" t="s">
        <v>30</v>
      </c>
      <c r="I5" s="4" t="s">
        <v>37</v>
      </c>
      <c r="J5" s="4" t="s">
        <v>42</v>
      </c>
      <c r="K5" s="4" t="s">
        <v>124</v>
      </c>
      <c r="L5" s="4" t="s">
        <v>125</v>
      </c>
      <c r="M5" s="27" t="s">
        <v>109</v>
      </c>
      <c r="N5" s="4" t="s">
        <v>126</v>
      </c>
      <c r="O5" s="4"/>
      <c r="P5" s="27"/>
      <c r="Q5" s="4" t="s">
        <v>127</v>
      </c>
      <c r="R5" s="4"/>
      <c r="S5" s="4"/>
      <c r="T5" s="4"/>
      <c r="U5" s="27"/>
    </row>
    <row r="6" spans="1:21" ht="41.25" customHeight="1">
      <c r="A6" s="4">
        <v>4</v>
      </c>
      <c r="B6" s="4" t="s">
        <v>78</v>
      </c>
      <c r="C6" s="4" t="s">
        <v>122</v>
      </c>
      <c r="D6" s="30">
        <v>46231</v>
      </c>
      <c r="E6" s="27" t="s">
        <v>131</v>
      </c>
      <c r="F6" s="4">
        <v>55</v>
      </c>
      <c r="G6" s="4" t="s">
        <v>29</v>
      </c>
      <c r="H6" s="4" t="s">
        <v>30</v>
      </c>
      <c r="I6" s="4" t="s">
        <v>37</v>
      </c>
      <c r="J6" s="4" t="s">
        <v>132</v>
      </c>
      <c r="K6" s="4" t="s">
        <v>124</v>
      </c>
      <c r="L6" s="4" t="s">
        <v>125</v>
      </c>
      <c r="M6" s="27" t="s">
        <v>109</v>
      </c>
      <c r="N6" s="4" t="s">
        <v>126</v>
      </c>
      <c r="O6" s="4"/>
      <c r="P6" s="27"/>
      <c r="Q6" s="4" t="s">
        <v>127</v>
      </c>
      <c r="R6" s="4"/>
      <c r="S6" s="4"/>
      <c r="T6" s="4"/>
      <c r="U6" s="27"/>
    </row>
    <row r="7" spans="1:21" ht="41.25" customHeight="1">
      <c r="A7" s="4">
        <v>5</v>
      </c>
      <c r="B7" s="4" t="s">
        <v>78</v>
      </c>
      <c r="C7" s="4" t="s">
        <v>122</v>
      </c>
      <c r="D7" s="30">
        <v>46232</v>
      </c>
      <c r="E7" s="27" t="s">
        <v>133</v>
      </c>
      <c r="F7" s="4">
        <v>21</v>
      </c>
      <c r="G7" s="4" t="s">
        <v>31</v>
      </c>
      <c r="H7" s="4" t="s">
        <v>30</v>
      </c>
      <c r="I7" s="4" t="s">
        <v>37</v>
      </c>
      <c r="J7" s="4" t="s">
        <v>134</v>
      </c>
      <c r="K7" s="4" t="s">
        <v>135</v>
      </c>
      <c r="L7" s="4" t="s">
        <v>125</v>
      </c>
      <c r="M7" s="27"/>
      <c r="N7" s="4" t="s">
        <v>136</v>
      </c>
      <c r="O7" s="4"/>
      <c r="P7" s="27" t="s">
        <v>137</v>
      </c>
      <c r="Q7" s="4" t="s">
        <v>127</v>
      </c>
      <c r="R7" s="4"/>
      <c r="S7" s="4"/>
      <c r="T7" s="4"/>
      <c r="U7" s="27" t="s">
        <v>138</v>
      </c>
    </row>
    <row r="8" spans="1:21" ht="41.25" customHeight="1">
      <c r="A8" s="4">
        <v>6</v>
      </c>
      <c r="B8" s="4" t="s">
        <v>78</v>
      </c>
      <c r="C8" s="4" t="s">
        <v>122</v>
      </c>
      <c r="D8" s="30">
        <v>46233</v>
      </c>
      <c r="E8" s="27" t="s">
        <v>139</v>
      </c>
      <c r="F8" s="4">
        <v>38</v>
      </c>
      <c r="G8" s="4" t="s">
        <v>29</v>
      </c>
      <c r="H8" s="4" t="s">
        <v>30</v>
      </c>
      <c r="I8" s="4" t="s">
        <v>37</v>
      </c>
      <c r="J8" s="4" t="s">
        <v>132</v>
      </c>
      <c r="K8" s="4" t="s">
        <v>124</v>
      </c>
      <c r="L8" s="4" t="s">
        <v>125</v>
      </c>
      <c r="M8" s="27" t="s">
        <v>109</v>
      </c>
      <c r="N8" s="4" t="s">
        <v>126</v>
      </c>
      <c r="O8" s="4"/>
      <c r="P8" s="27"/>
      <c r="Q8" s="4" t="s">
        <v>127</v>
      </c>
      <c r="R8" s="4"/>
      <c r="S8" s="4"/>
      <c r="T8" s="4"/>
      <c r="U8" s="27"/>
    </row>
    <row r="9" spans="1:21" ht="41.25" customHeight="1">
      <c r="A9" s="4">
        <v>7</v>
      </c>
      <c r="B9" s="4" t="s">
        <v>78</v>
      </c>
      <c r="C9" s="4" t="s">
        <v>122</v>
      </c>
      <c r="D9" s="30">
        <v>46233</v>
      </c>
      <c r="E9" s="27" t="s">
        <v>140</v>
      </c>
      <c r="F9" s="4">
        <v>19</v>
      </c>
      <c r="G9" s="4" t="s">
        <v>29</v>
      </c>
      <c r="H9" s="4" t="s">
        <v>30</v>
      </c>
      <c r="I9" s="4" t="s">
        <v>37</v>
      </c>
      <c r="J9" s="4" t="s">
        <v>134</v>
      </c>
      <c r="K9" s="4" t="s">
        <v>135</v>
      </c>
      <c r="L9" s="4" t="s">
        <v>125</v>
      </c>
      <c r="M9" s="27"/>
      <c r="N9" s="4" t="s">
        <v>141</v>
      </c>
      <c r="O9" s="4"/>
      <c r="P9" s="27"/>
      <c r="Q9" s="4" t="s">
        <v>142</v>
      </c>
      <c r="R9" s="4"/>
      <c r="S9" s="4"/>
      <c r="T9" s="4"/>
      <c r="U9" s="27" t="s">
        <v>143</v>
      </c>
    </row>
    <row r="10" spans="1:21" ht="41.25" customHeight="1">
      <c r="A10" s="4">
        <v>8</v>
      </c>
      <c r="B10" s="4" t="s">
        <v>78</v>
      </c>
      <c r="C10" s="4" t="s">
        <v>122</v>
      </c>
      <c r="D10" s="30">
        <v>46233</v>
      </c>
      <c r="E10" s="27" t="s">
        <v>144</v>
      </c>
      <c r="F10" s="4">
        <v>25</v>
      </c>
      <c r="G10" s="4" t="s">
        <v>29</v>
      </c>
      <c r="H10" s="4" t="s">
        <v>32</v>
      </c>
      <c r="I10" s="4" t="s">
        <v>37</v>
      </c>
      <c r="J10" s="4" t="s">
        <v>41</v>
      </c>
      <c r="K10" s="4" t="s">
        <v>124</v>
      </c>
      <c r="L10" s="4" t="s">
        <v>125</v>
      </c>
      <c r="M10" s="27" t="s">
        <v>145</v>
      </c>
      <c r="N10" s="4" t="s">
        <v>126</v>
      </c>
      <c r="O10" s="4"/>
      <c r="P10" s="27"/>
      <c r="Q10" s="4" t="s">
        <v>127</v>
      </c>
      <c r="R10" s="4"/>
      <c r="S10" s="4"/>
      <c r="T10" s="4"/>
      <c r="U10" s="27" t="s">
        <v>146</v>
      </c>
    </row>
    <row r="11" spans="1:21" ht="41.25" customHeight="1">
      <c r="A11" s="4">
        <v>9</v>
      </c>
      <c r="B11" s="4" t="s">
        <v>78</v>
      </c>
      <c r="C11" s="4" t="s">
        <v>122</v>
      </c>
      <c r="D11" s="30">
        <v>46236</v>
      </c>
      <c r="E11" s="27" t="s">
        <v>147</v>
      </c>
      <c r="F11" s="4">
        <v>21</v>
      </c>
      <c r="G11" s="4" t="s">
        <v>31</v>
      </c>
      <c r="H11" s="4" t="s">
        <v>32</v>
      </c>
      <c r="I11" s="4" t="s">
        <v>37</v>
      </c>
      <c r="J11" s="4" t="s">
        <v>132</v>
      </c>
      <c r="K11" s="4" t="s">
        <v>124</v>
      </c>
      <c r="L11" s="4" t="s">
        <v>125</v>
      </c>
      <c r="M11" s="27" t="s">
        <v>145</v>
      </c>
      <c r="N11" s="4" t="s">
        <v>126</v>
      </c>
      <c r="O11" s="4"/>
      <c r="P11" s="27"/>
      <c r="Q11" s="4" t="s">
        <v>142</v>
      </c>
      <c r="R11" s="4"/>
      <c r="S11" s="4"/>
      <c r="T11" s="4"/>
      <c r="U11" s="27" t="s">
        <v>148</v>
      </c>
    </row>
    <row r="12" spans="1:21" ht="41.25" customHeight="1">
      <c r="A12" s="4">
        <v>10</v>
      </c>
      <c r="B12" s="4" t="s">
        <v>78</v>
      </c>
      <c r="C12" s="4" t="s">
        <v>122</v>
      </c>
      <c r="D12" s="30">
        <v>46236</v>
      </c>
      <c r="E12" s="27" t="s">
        <v>149</v>
      </c>
      <c r="F12" s="4">
        <v>21</v>
      </c>
      <c r="G12" s="4" t="s">
        <v>29</v>
      </c>
      <c r="H12" s="4" t="s">
        <v>32</v>
      </c>
      <c r="I12" s="4" t="s">
        <v>37</v>
      </c>
      <c r="J12" s="4" t="s">
        <v>134</v>
      </c>
      <c r="K12" s="4" t="s">
        <v>124</v>
      </c>
      <c r="L12" s="4" t="s">
        <v>125</v>
      </c>
      <c r="M12" s="27" t="s">
        <v>145</v>
      </c>
      <c r="N12" s="4" t="s">
        <v>126</v>
      </c>
      <c r="O12" s="4"/>
      <c r="P12" s="27"/>
      <c r="Q12" s="4" t="s">
        <v>142</v>
      </c>
      <c r="R12" s="4"/>
      <c r="S12" s="4"/>
      <c r="T12" s="4"/>
      <c r="U12" s="27"/>
    </row>
    <row r="13" spans="1:21" ht="41.25" customHeight="1">
      <c r="A13" s="4">
        <v>11</v>
      </c>
      <c r="B13" s="4" t="s">
        <v>78</v>
      </c>
      <c r="C13" s="4" t="s">
        <v>122</v>
      </c>
      <c r="D13" s="30">
        <v>46237</v>
      </c>
      <c r="E13" s="27" t="s">
        <v>150</v>
      </c>
      <c r="F13" s="4">
        <v>24</v>
      </c>
      <c r="G13" s="4" t="s">
        <v>29</v>
      </c>
      <c r="H13" s="4" t="s">
        <v>30</v>
      </c>
      <c r="I13" s="4" t="s">
        <v>37</v>
      </c>
      <c r="J13" s="4" t="s">
        <v>134</v>
      </c>
      <c r="K13" s="4" t="s">
        <v>151</v>
      </c>
      <c r="L13" s="4" t="s">
        <v>125</v>
      </c>
      <c r="M13" s="27"/>
      <c r="N13" s="4" t="s">
        <v>126</v>
      </c>
      <c r="O13" s="4"/>
      <c r="P13" s="27"/>
      <c r="Q13" s="4" t="s">
        <v>142</v>
      </c>
      <c r="R13" s="4"/>
      <c r="S13" s="4"/>
      <c r="T13" s="4"/>
      <c r="U13" s="27" t="s">
        <v>152</v>
      </c>
    </row>
    <row r="14" spans="1:21" ht="41.25" customHeight="1">
      <c r="A14" s="4">
        <v>12</v>
      </c>
      <c r="B14" s="4" t="s">
        <v>78</v>
      </c>
      <c r="C14" s="4" t="s">
        <v>153</v>
      </c>
      <c r="D14" s="30">
        <v>46236</v>
      </c>
      <c r="E14" s="27" t="s">
        <v>147</v>
      </c>
      <c r="F14" s="4">
        <v>21</v>
      </c>
      <c r="G14" s="4" t="s">
        <v>31</v>
      </c>
      <c r="H14" s="4" t="s">
        <v>32</v>
      </c>
      <c r="I14" s="4" t="s">
        <v>37</v>
      </c>
      <c r="J14" s="4" t="s">
        <v>42</v>
      </c>
      <c r="K14" s="4" t="s">
        <v>124</v>
      </c>
      <c r="L14" s="4" t="s">
        <v>125</v>
      </c>
      <c r="M14" s="27" t="s">
        <v>145</v>
      </c>
      <c r="N14" s="4" t="s">
        <v>126</v>
      </c>
      <c r="O14" s="4"/>
      <c r="P14" s="27"/>
      <c r="Q14" s="4" t="s">
        <v>142</v>
      </c>
      <c r="R14" s="4"/>
      <c r="S14" s="4"/>
      <c r="T14" s="4"/>
      <c r="U14" s="27" t="s">
        <v>154</v>
      </c>
    </row>
    <row r="15" spans="1:21" ht="41.25" customHeight="1">
      <c r="A15" s="4">
        <v>13</v>
      </c>
      <c r="B15" s="4" t="s">
        <v>79</v>
      </c>
      <c r="C15" s="4" t="s">
        <v>153</v>
      </c>
      <c r="D15" s="30">
        <v>46233</v>
      </c>
      <c r="E15" s="27" t="s">
        <v>155</v>
      </c>
      <c r="F15" s="4">
        <v>33</v>
      </c>
      <c r="G15" s="4" t="s">
        <v>31</v>
      </c>
      <c r="H15" s="4" t="s">
        <v>30</v>
      </c>
      <c r="I15" s="4" t="s">
        <v>37</v>
      </c>
      <c r="J15" s="4" t="s">
        <v>42</v>
      </c>
      <c r="K15" s="4" t="s">
        <v>151</v>
      </c>
      <c r="L15" s="4" t="s">
        <v>125</v>
      </c>
      <c r="M15" s="27"/>
      <c r="N15" s="4" t="s">
        <v>126</v>
      </c>
      <c r="O15" s="4"/>
      <c r="P15" s="27"/>
      <c r="Q15" s="4" t="s">
        <v>142</v>
      </c>
      <c r="R15" s="4"/>
      <c r="S15" s="4"/>
      <c r="T15" s="4"/>
      <c r="U15" s="27"/>
    </row>
    <row r="16" spans="1:21" ht="41.25" customHeight="1">
      <c r="A16" s="4">
        <v>14</v>
      </c>
      <c r="B16" s="4" t="s">
        <v>79</v>
      </c>
      <c r="C16" s="4" t="s">
        <v>153</v>
      </c>
      <c r="D16" s="30">
        <v>46233</v>
      </c>
      <c r="E16" s="27" t="s">
        <v>156</v>
      </c>
      <c r="F16" s="4">
        <v>18</v>
      </c>
      <c r="G16" s="4" t="s">
        <v>31</v>
      </c>
      <c r="H16" s="4" t="s">
        <v>30</v>
      </c>
      <c r="I16" s="4" t="s">
        <v>37</v>
      </c>
      <c r="J16" s="4" t="s">
        <v>42</v>
      </c>
      <c r="K16" s="4" t="s">
        <v>151</v>
      </c>
      <c r="L16" s="4" t="s">
        <v>125</v>
      </c>
      <c r="M16" s="27"/>
      <c r="N16" s="4" t="s">
        <v>126</v>
      </c>
      <c r="O16" s="4"/>
      <c r="P16" s="27"/>
      <c r="Q16" s="4" t="s">
        <v>142</v>
      </c>
      <c r="R16" s="4"/>
      <c r="S16" s="4"/>
      <c r="T16" s="4"/>
      <c r="U16" s="27" t="s">
        <v>157</v>
      </c>
    </row>
    <row r="17" spans="1:21" ht="41.25" customHeight="1">
      <c r="A17" s="4">
        <v>15</v>
      </c>
      <c r="B17" s="4" t="s">
        <v>79</v>
      </c>
      <c r="C17" s="4" t="s">
        <v>153</v>
      </c>
      <c r="D17" s="30">
        <v>46238</v>
      </c>
      <c r="E17" s="27" t="s">
        <v>158</v>
      </c>
      <c r="F17" s="4">
        <v>25</v>
      </c>
      <c r="G17" s="4" t="s">
        <v>29</v>
      </c>
      <c r="H17" s="4" t="s">
        <v>30</v>
      </c>
      <c r="I17" s="4" t="s">
        <v>37</v>
      </c>
      <c r="J17" s="4" t="s">
        <v>132</v>
      </c>
      <c r="K17" s="4" t="s">
        <v>135</v>
      </c>
      <c r="L17" s="4" t="s">
        <v>125</v>
      </c>
      <c r="M17" s="27"/>
      <c r="N17" s="4" t="s">
        <v>141</v>
      </c>
      <c r="O17" s="4"/>
      <c r="P17" s="27"/>
      <c r="Q17" s="4" t="s">
        <v>142</v>
      </c>
      <c r="R17" s="4"/>
      <c r="S17" s="4"/>
      <c r="T17" s="4"/>
      <c r="U17" s="27" t="s">
        <v>159</v>
      </c>
    </row>
    <row r="18" spans="1:21" ht="41.25" customHeight="1">
      <c r="A18" s="4">
        <v>16</v>
      </c>
      <c r="B18" s="47" t="s">
        <v>83</v>
      </c>
      <c r="C18" s="47" t="s">
        <v>122</v>
      </c>
      <c r="D18" s="48">
        <v>46237</v>
      </c>
      <c r="E18" s="49" t="s">
        <v>160</v>
      </c>
      <c r="F18" s="47">
        <v>28</v>
      </c>
      <c r="G18" s="47" t="s">
        <v>31</v>
      </c>
      <c r="H18" s="47" t="s">
        <v>30</v>
      </c>
      <c r="I18" s="47" t="s">
        <v>35</v>
      </c>
      <c r="J18" s="47" t="s">
        <v>132</v>
      </c>
      <c r="K18" s="47" t="s">
        <v>135</v>
      </c>
      <c r="L18" s="4" t="s">
        <v>125</v>
      </c>
      <c r="M18" s="49"/>
      <c r="N18" s="47" t="s">
        <v>141</v>
      </c>
      <c r="O18" s="47"/>
      <c r="P18" s="49"/>
      <c r="Q18" s="47" t="s">
        <v>142</v>
      </c>
      <c r="R18" s="47"/>
      <c r="S18" s="4"/>
      <c r="T18" s="4"/>
      <c r="U18" s="49" t="s">
        <v>161</v>
      </c>
    </row>
    <row r="19" spans="1:21" ht="41.25" customHeight="1">
      <c r="A19" s="4">
        <v>17</v>
      </c>
      <c r="B19" s="39" t="s">
        <v>78</v>
      </c>
      <c r="C19" s="39" t="s">
        <v>122</v>
      </c>
      <c r="D19" s="40">
        <v>46240</v>
      </c>
      <c r="E19" s="41" t="s">
        <v>162</v>
      </c>
      <c r="F19" s="39">
        <v>62</v>
      </c>
      <c r="G19" s="39" t="s">
        <v>31</v>
      </c>
      <c r="H19" s="39" t="s">
        <v>30</v>
      </c>
      <c r="I19" s="39" t="s">
        <v>37</v>
      </c>
      <c r="J19" s="39" t="s">
        <v>163</v>
      </c>
      <c r="K19" s="39" t="s">
        <v>124</v>
      </c>
      <c r="L19" s="4" t="s">
        <v>125</v>
      </c>
      <c r="M19" s="42" t="s">
        <v>109</v>
      </c>
      <c r="N19" s="39" t="s">
        <v>126</v>
      </c>
      <c r="O19" s="39"/>
      <c r="P19" s="37"/>
      <c r="Q19" s="39" t="s">
        <v>142</v>
      </c>
      <c r="R19" s="39"/>
      <c r="S19" s="4"/>
      <c r="T19" s="4"/>
      <c r="U19" s="37"/>
    </row>
    <row r="20" spans="1:21" ht="41.25" customHeight="1">
      <c r="A20" s="4">
        <v>18</v>
      </c>
      <c r="B20" s="43" t="s">
        <v>78</v>
      </c>
      <c r="C20" s="43" t="s">
        <v>122</v>
      </c>
      <c r="D20" s="44">
        <v>46240</v>
      </c>
      <c r="E20" s="45" t="s">
        <v>164</v>
      </c>
      <c r="F20" s="43">
        <v>18</v>
      </c>
      <c r="G20" s="43" t="s">
        <v>29</v>
      </c>
      <c r="H20" s="43" t="s">
        <v>30</v>
      </c>
      <c r="I20" s="43" t="s">
        <v>37</v>
      </c>
      <c r="J20" s="43" t="s">
        <v>134</v>
      </c>
      <c r="K20" s="43" t="s">
        <v>151</v>
      </c>
      <c r="L20" s="4" t="s">
        <v>125</v>
      </c>
      <c r="M20" s="46"/>
      <c r="N20" s="43" t="s">
        <v>126</v>
      </c>
      <c r="O20" s="43"/>
      <c r="P20" s="46"/>
      <c r="Q20" s="43" t="s">
        <v>142</v>
      </c>
      <c r="R20" s="43"/>
      <c r="S20" s="4"/>
      <c r="T20" s="4"/>
      <c r="U20" s="46"/>
    </row>
    <row r="21" spans="1:21" ht="41.25" customHeight="1">
      <c r="A21" s="4">
        <v>19</v>
      </c>
      <c r="B21" s="43" t="s">
        <v>78</v>
      </c>
      <c r="C21" s="39" t="s">
        <v>153</v>
      </c>
      <c r="D21" s="44">
        <v>46240</v>
      </c>
      <c r="E21" s="45" t="s">
        <v>165</v>
      </c>
      <c r="F21" s="43">
        <v>17</v>
      </c>
      <c r="G21" s="39" t="s">
        <v>31</v>
      </c>
      <c r="H21" s="43" t="s">
        <v>30</v>
      </c>
      <c r="I21" s="43" t="s">
        <v>37</v>
      </c>
      <c r="J21" s="37"/>
      <c r="K21" s="37"/>
      <c r="L21" s="4" t="s">
        <v>125</v>
      </c>
      <c r="M21" s="37"/>
      <c r="N21" s="37"/>
      <c r="O21" s="37"/>
      <c r="P21" s="37"/>
      <c r="Q21" s="37"/>
      <c r="R21" s="37"/>
      <c r="S21" s="4"/>
      <c r="T21" s="4"/>
      <c r="U21" s="37"/>
    </row>
    <row r="22" spans="1:21" ht="41.25" customHeight="1">
      <c r="A22" s="4">
        <v>20</v>
      </c>
      <c r="B22" s="43" t="s">
        <v>78</v>
      </c>
      <c r="C22" s="39" t="s">
        <v>122</v>
      </c>
      <c r="D22" s="44">
        <v>46241</v>
      </c>
      <c r="E22" s="45" t="s">
        <v>166</v>
      </c>
      <c r="F22" s="43">
        <v>77</v>
      </c>
      <c r="G22" s="43" t="s">
        <v>29</v>
      </c>
      <c r="H22" s="43" t="s">
        <v>30</v>
      </c>
      <c r="I22" s="43" t="s">
        <v>37</v>
      </c>
      <c r="J22" s="37"/>
      <c r="K22" s="37"/>
      <c r="L22" s="4" t="s">
        <v>125</v>
      </c>
      <c r="M22" s="37"/>
      <c r="N22" s="37"/>
      <c r="O22" s="37"/>
      <c r="P22" s="37"/>
      <c r="Q22" s="37"/>
      <c r="R22" s="37"/>
      <c r="S22" s="4"/>
      <c r="T22" s="4"/>
      <c r="U22" s="37"/>
    </row>
    <row r="23" spans="1:21" ht="41.25" customHeight="1">
      <c r="A23" s="38">
        <v>21</v>
      </c>
      <c r="B23" s="37"/>
      <c r="C23" s="39"/>
      <c r="D23" s="37"/>
      <c r="E23" s="37"/>
      <c r="F23" s="37"/>
      <c r="G23" s="37"/>
      <c r="H23" s="37"/>
      <c r="I23" s="37"/>
      <c r="J23" s="37"/>
      <c r="K23" s="37"/>
      <c r="L23" s="4" t="s">
        <v>125</v>
      </c>
      <c r="M23" s="37"/>
      <c r="N23" s="37"/>
      <c r="O23" s="37"/>
      <c r="P23" s="37"/>
      <c r="Q23" s="37"/>
      <c r="R23" s="37"/>
      <c r="S23" s="4"/>
      <c r="T23" s="4"/>
      <c r="U23" s="37"/>
    </row>
    <row r="24" spans="1:21" ht="41.25" customHeight="1">
      <c r="A24" s="36">
        <v>22</v>
      </c>
      <c r="B24" s="37"/>
      <c r="C24" s="43"/>
      <c r="D24" s="37"/>
      <c r="E24" s="37"/>
      <c r="F24" s="37"/>
      <c r="G24" s="37"/>
      <c r="H24" s="37"/>
      <c r="I24" s="37"/>
      <c r="J24" s="37"/>
      <c r="K24" s="37"/>
      <c r="L24" s="4" t="s">
        <v>125</v>
      </c>
      <c r="M24" s="37"/>
      <c r="N24" s="37"/>
      <c r="O24" s="37"/>
      <c r="P24" s="37"/>
      <c r="Q24" s="37"/>
      <c r="R24" s="37"/>
      <c r="S24" s="4"/>
      <c r="T24" s="4"/>
      <c r="U24" s="37"/>
    </row>
    <row r="25" spans="1:21" ht="41.25" customHeight="1">
      <c r="A25" s="38">
        <v>23</v>
      </c>
      <c r="B25" s="37"/>
      <c r="C25" s="39"/>
      <c r="D25" s="37"/>
      <c r="E25" s="37"/>
      <c r="F25" s="37"/>
      <c r="G25" s="37"/>
      <c r="H25" s="37"/>
      <c r="I25" s="37"/>
      <c r="J25" s="37"/>
      <c r="K25" s="37"/>
      <c r="L25" s="4" t="s">
        <v>125</v>
      </c>
      <c r="M25" s="37"/>
      <c r="N25" s="37"/>
      <c r="O25" s="37"/>
      <c r="P25" s="37"/>
      <c r="Q25" s="37"/>
      <c r="R25" s="37"/>
      <c r="S25" s="4"/>
      <c r="T25" s="4"/>
      <c r="U25" s="37"/>
    </row>
    <row r="26" spans="1:21" ht="41.25" customHeight="1">
      <c r="A26" s="38">
        <v>24</v>
      </c>
      <c r="B26" s="37"/>
      <c r="C26" s="39"/>
      <c r="D26" s="37"/>
      <c r="E26" s="37"/>
      <c r="F26" s="37"/>
      <c r="G26" s="37"/>
      <c r="H26" s="37"/>
      <c r="I26" s="37"/>
      <c r="J26" s="37"/>
      <c r="K26" s="37"/>
      <c r="L26" s="4" t="s">
        <v>125</v>
      </c>
      <c r="M26" s="37"/>
      <c r="N26" s="37"/>
      <c r="O26" s="37"/>
      <c r="P26" s="37"/>
      <c r="Q26" s="37"/>
      <c r="R26" s="37"/>
      <c r="S26" s="4"/>
      <c r="T26" s="4"/>
      <c r="U26" s="37"/>
    </row>
    <row r="27" spans="1:21" ht="41.25" customHeight="1">
      <c r="A27" s="38">
        <v>25</v>
      </c>
      <c r="B27" s="37"/>
      <c r="C27" s="39"/>
      <c r="D27" s="37"/>
      <c r="E27" s="37"/>
      <c r="F27" s="37"/>
      <c r="G27" s="37"/>
      <c r="H27" s="37"/>
      <c r="I27" s="37"/>
      <c r="J27" s="37"/>
      <c r="K27" s="37"/>
      <c r="L27" s="4" t="s">
        <v>125</v>
      </c>
      <c r="M27" s="37"/>
      <c r="N27" s="37"/>
      <c r="O27" s="37"/>
      <c r="P27" s="37"/>
      <c r="Q27" s="37"/>
      <c r="R27" s="37"/>
      <c r="S27" s="4"/>
      <c r="T27" s="4"/>
      <c r="U27" s="37"/>
    </row>
    <row r="28" spans="1:21" ht="41.25" customHeight="1">
      <c r="A28" s="36">
        <v>26</v>
      </c>
      <c r="B28" s="37"/>
      <c r="C28" s="43"/>
      <c r="D28" s="37"/>
      <c r="E28" s="37"/>
      <c r="F28" s="37"/>
      <c r="G28" s="37"/>
      <c r="H28" s="37"/>
      <c r="I28" s="37"/>
      <c r="J28" s="37"/>
      <c r="K28" s="37"/>
      <c r="L28" s="4" t="s">
        <v>125</v>
      </c>
      <c r="M28" s="37"/>
      <c r="N28" s="37"/>
      <c r="O28" s="37"/>
      <c r="P28" s="37"/>
      <c r="Q28" s="37"/>
      <c r="R28" s="37"/>
      <c r="S28" s="4"/>
      <c r="T28" s="4"/>
      <c r="U28" s="37"/>
    </row>
    <row r="29" spans="1:21" ht="41.25" customHeight="1">
      <c r="A29" s="38">
        <v>27</v>
      </c>
      <c r="B29" s="37"/>
      <c r="C29" s="39"/>
      <c r="D29" s="37"/>
      <c r="E29" s="37"/>
      <c r="F29" s="37"/>
      <c r="G29" s="37"/>
      <c r="H29" s="37"/>
      <c r="I29" s="37"/>
      <c r="J29" s="37"/>
      <c r="K29" s="37"/>
      <c r="L29" s="4" t="s">
        <v>125</v>
      </c>
      <c r="M29" s="37"/>
      <c r="N29" s="37"/>
      <c r="O29" s="37"/>
      <c r="P29" s="37"/>
      <c r="Q29" s="37"/>
      <c r="R29" s="37"/>
      <c r="S29" s="4"/>
      <c r="T29" s="4"/>
      <c r="U29" s="37"/>
    </row>
    <row r="30" spans="1:21" ht="41.25" customHeight="1">
      <c r="A30" s="38">
        <v>28</v>
      </c>
      <c r="B30" s="37"/>
      <c r="C30" s="39"/>
      <c r="D30" s="37"/>
      <c r="E30" s="37"/>
      <c r="F30" s="37"/>
      <c r="G30" s="37"/>
      <c r="H30" s="37"/>
      <c r="I30" s="37"/>
      <c r="J30" s="37"/>
      <c r="K30" s="37"/>
      <c r="L30" s="4" t="s">
        <v>125</v>
      </c>
      <c r="M30" s="37"/>
      <c r="N30" s="37"/>
      <c r="O30" s="37"/>
      <c r="P30" s="37"/>
      <c r="Q30" s="37"/>
      <c r="R30" s="37"/>
      <c r="S30" s="4"/>
      <c r="T30" s="4"/>
      <c r="U30" s="37"/>
    </row>
    <row r="31" spans="1:21" ht="41.25" customHeight="1">
      <c r="A31" s="38">
        <v>29</v>
      </c>
      <c r="B31" s="37"/>
      <c r="C31" s="39"/>
      <c r="D31" s="37"/>
      <c r="E31" s="37"/>
      <c r="F31" s="37"/>
      <c r="G31" s="37"/>
      <c r="H31" s="37"/>
      <c r="I31" s="37"/>
      <c r="J31" s="37"/>
      <c r="K31" s="37"/>
      <c r="L31" s="4" t="s">
        <v>125</v>
      </c>
      <c r="M31" s="37"/>
      <c r="N31" s="37"/>
      <c r="O31" s="37"/>
      <c r="P31" s="37"/>
      <c r="Q31" s="37"/>
      <c r="R31" s="37"/>
      <c r="S31" s="4"/>
      <c r="T31" s="4"/>
      <c r="U31" s="37"/>
    </row>
    <row r="32" spans="1:21" ht="16.2">
      <c r="A32" s="36">
        <v>30</v>
      </c>
      <c r="L32" s="4" t="s">
        <v>125</v>
      </c>
      <c r="S32" s="4"/>
      <c r="T32" s="4"/>
    </row>
    <row r="33" spans="1:20" ht="16.2">
      <c r="A33" s="4">
        <v>31</v>
      </c>
      <c r="L33" s="4" t="s">
        <v>125</v>
      </c>
      <c r="S33" s="4"/>
      <c r="T33" s="4"/>
    </row>
    <row r="34" spans="1:20" ht="13.5" customHeight="1">
      <c r="L34" s="4" t="s">
        <v>125</v>
      </c>
      <c r="S34" s="4"/>
      <c r="T34" s="4"/>
    </row>
    <row r="35" spans="1:20" ht="13.5" customHeight="1">
      <c r="L35" s="4" t="s">
        <v>125</v>
      </c>
      <c r="T35" s="4"/>
    </row>
    <row r="36" spans="1:20" ht="13.5" customHeight="1">
      <c r="L36" s="4" t="s">
        <v>125</v>
      </c>
      <c r="T36" s="4"/>
    </row>
    <row r="37" spans="1:20" ht="13.5" customHeight="1">
      <c r="L37" s="4" t="s">
        <v>125</v>
      </c>
      <c r="T37" s="4"/>
    </row>
    <row r="38" spans="1:20" ht="13.5" customHeight="1">
      <c r="L38" s="4" t="s">
        <v>125</v>
      </c>
      <c r="T38" s="4"/>
    </row>
    <row r="39" spans="1:20" ht="13.5" customHeight="1">
      <c r="L39" s="4" t="s">
        <v>125</v>
      </c>
      <c r="T39" s="4"/>
    </row>
    <row r="40" spans="1:20" ht="13.5" customHeight="1">
      <c r="L40" s="4" t="s">
        <v>125</v>
      </c>
      <c r="T40" s="4"/>
    </row>
    <row r="41" spans="1:20" ht="13.5" customHeight="1">
      <c r="T41" s="4"/>
    </row>
    <row r="42" spans="1:20" ht="13.5" customHeight="1">
      <c r="T42" s="4"/>
    </row>
    <row r="43" spans="1:20" ht="13.5" customHeight="1">
      <c r="T43" s="4"/>
    </row>
    <row r="44" spans="1:20" ht="13.5" customHeight="1">
      <c r="T44" s="4"/>
    </row>
    <row r="45" spans="1:20" ht="13.5" customHeight="1">
      <c r="T45" s="4"/>
    </row>
    <row r="46" spans="1:20" ht="13.5" customHeight="1">
      <c r="T46" s="4"/>
    </row>
    <row r="47" spans="1:20" ht="13.5" customHeight="1">
      <c r="T47" s="4"/>
    </row>
    <row r="48" spans="1:20" ht="16.2">
      <c r="T48" s="4"/>
    </row>
    <row r="49" ht="13.2"/>
  </sheetData>
  <autoFilter ref="A1:U33" xr:uid="{00000000-0001-0000-03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</autoFilter>
  <mergeCells count="1">
    <mergeCell ref="A1:U1"/>
  </mergeCells>
  <phoneticPr fontId="23"/>
  <dataValidations count="1">
    <dataValidation type="list" allowBlank="1" showInputMessage="1" showErrorMessage="1" sqref="L3:L40" xr:uid="{3BC48D60-E9E3-41A9-B900-0FBCBF606338}">
      <formula1>$L$3:$L$5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xr:uid="{00000000-0002-0000-0300-000000000000}">
          <x14:formula1>
            <xm:f>マスタ!$A$3:$A$8</xm:f>
          </x14:formula1>
          <xm:sqref>B3:B504</xm:sqref>
        </x14:dataValidation>
        <x14:dataValidation type="list" allowBlank="1" xr:uid="{00000000-0002-0000-0300-000001000000}">
          <x14:formula1>
            <xm:f>マスタ!$B$3:$B$4</xm:f>
          </x14:formula1>
          <xm:sqref>C3:C504</xm:sqref>
        </x14:dataValidation>
        <x14:dataValidation type="list" allowBlank="1" xr:uid="{00000000-0002-0000-0300-000002000000}">
          <x14:formula1>
            <xm:f>マスタ!$C$3:$C$4</xm:f>
          </x14:formula1>
          <xm:sqref>G3:G504</xm:sqref>
        </x14:dataValidation>
        <x14:dataValidation type="list" allowBlank="1" xr:uid="{00000000-0002-0000-0300-000003000000}">
          <x14:formula1>
            <xm:f>マスタ!$D$3:$D$4</xm:f>
          </x14:formula1>
          <xm:sqref>H3:H504</xm:sqref>
        </x14:dataValidation>
        <x14:dataValidation type="list" allowBlank="1" xr:uid="{00000000-0002-0000-0300-000004000000}">
          <x14:formula1>
            <xm:f>マスタ!$E$3:$E$4</xm:f>
          </x14:formula1>
          <xm:sqref>I3:I504</xm:sqref>
        </x14:dataValidation>
        <x14:dataValidation type="list" allowBlank="1" xr:uid="{00000000-0002-0000-0300-000005000000}">
          <x14:formula1>
            <xm:f>マスタ!$F$3:$F$7</xm:f>
          </x14:formula1>
          <xm:sqref>J3:J4 J21:J504</xm:sqref>
        </x14:dataValidation>
        <x14:dataValidation type="list" allowBlank="1" xr:uid="{00000000-0002-0000-0300-000006000000}">
          <x14:formula1>
            <xm:f>マスタ!$G$3:$G$9</xm:f>
          </x14:formula1>
          <xm:sqref>K3:K504 L41:L504</xm:sqref>
        </x14:dataValidation>
        <x14:dataValidation type="list" allowBlank="1" xr:uid="{00000000-0002-0000-0300-000007000000}">
          <x14:formula1>
            <xm:f>マスタ!$H$3:$H$9</xm:f>
          </x14:formula1>
          <xm:sqref>M3:M504</xm:sqref>
        </x14:dataValidation>
        <x14:dataValidation type="list" allowBlank="1" xr:uid="{00000000-0002-0000-0300-000008000000}">
          <x14:formula1>
            <xm:f>マスタ!$I$3:$I$6</xm:f>
          </x14:formula1>
          <xm:sqref>N3:O504</xm:sqref>
        </x14:dataValidation>
        <x14:dataValidation type="list" allowBlank="1" xr:uid="{00000000-0002-0000-0300-000009000000}">
          <x14:formula1>
            <xm:f>マスタ!$J$3:$J$17</xm:f>
          </x14:formula1>
          <xm:sqref>P3:P504</xm:sqref>
        </x14:dataValidation>
        <x14:dataValidation type="list" allowBlank="1" xr:uid="{00000000-0002-0000-0300-00000A000000}">
          <x14:formula1>
            <xm:f>マスタ!$K$3:$K$9</xm:f>
          </x14:formula1>
          <xm:sqref>Q3:R504 S35:S504 T49:T504</xm:sqref>
        </x14:dataValidation>
        <x14:dataValidation type="list" allowBlank="1" xr:uid="{A77F505D-5381-405F-BC47-D5656F1EC824}">
          <x14:formula1>
            <xm:f>マスタ!$F$3:$F$10</xm:f>
          </x14:formula1>
          <xm:sqref>J5:J20</xm:sqref>
        </x14:dataValidation>
        <x14:dataValidation type="list" allowBlank="1" showInputMessage="1" showErrorMessage="1" xr:uid="{75DF9DD0-C489-42A5-B382-EC6831F73A69}">
          <x14:formula1>
            <xm:f>マスタ!$M$3:$M$6</xm:f>
          </x14:formula1>
          <xm:sqref>S3:S34</xm:sqref>
        </x14:dataValidation>
        <x14:dataValidation type="list" allowBlank="1" showInputMessage="1" showErrorMessage="1" xr:uid="{1FB4B481-242E-49D7-8ADE-BD1E5B80E45D}">
          <x14:formula1>
            <xm:f>マスタ!$N$3:$N$5</xm:f>
          </x14:formula1>
          <xm:sqref>T3:T48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7"/>
  <sheetViews>
    <sheetView workbookViewId="0">
      <pane ySplit="2" topLeftCell="A3" activePane="bottomLeft" state="frozen"/>
      <selection pane="bottomLeft" activeCell="L3" sqref="L3:L5"/>
    </sheetView>
  </sheetViews>
  <sheetFormatPr defaultRowHeight="13.2"/>
  <cols>
    <col min="1" max="7" width="12" customWidth="1"/>
    <col min="8" max="8" width="16" customWidth="1"/>
    <col min="9" max="9" width="12" customWidth="1"/>
    <col min="10" max="10" width="16" customWidth="1"/>
    <col min="11" max="11" width="12" customWidth="1"/>
    <col min="12" max="14" width="13.44140625" customWidth="1"/>
  </cols>
  <sheetData>
    <row r="1" spans="1:14" ht="21">
      <c r="A1" s="31" t="s">
        <v>167</v>
      </c>
    </row>
    <row r="2" spans="1:14" ht="17.399999999999999">
      <c r="A2" s="32" t="s">
        <v>77</v>
      </c>
      <c r="B2" s="32" t="s">
        <v>85</v>
      </c>
      <c r="C2" s="32" t="s">
        <v>110</v>
      </c>
      <c r="D2" s="32" t="s">
        <v>28</v>
      </c>
      <c r="E2" s="32" t="s">
        <v>33</v>
      </c>
      <c r="F2" s="32" t="s">
        <v>111</v>
      </c>
      <c r="G2" s="32" t="s">
        <v>112</v>
      </c>
      <c r="H2" s="32" t="s">
        <v>114</v>
      </c>
      <c r="I2" s="32" t="s">
        <v>115</v>
      </c>
      <c r="J2" s="32" t="s">
        <v>117</v>
      </c>
      <c r="K2" s="32" t="s">
        <v>118</v>
      </c>
      <c r="L2" s="32" t="s">
        <v>113</v>
      </c>
      <c r="M2" s="32" t="s">
        <v>120</v>
      </c>
      <c r="N2" s="32" t="s">
        <v>121</v>
      </c>
    </row>
    <row r="3" spans="1:14" ht="16.2">
      <c r="A3" s="27" t="s">
        <v>78</v>
      </c>
      <c r="B3" s="27" t="s">
        <v>122</v>
      </c>
      <c r="C3" s="27" t="s">
        <v>29</v>
      </c>
      <c r="D3" s="27" t="s">
        <v>30</v>
      </c>
      <c r="E3" s="27" t="s">
        <v>35</v>
      </c>
      <c r="F3" s="27" t="s">
        <v>134</v>
      </c>
      <c r="G3" s="27" t="s">
        <v>168</v>
      </c>
      <c r="H3" s="27" t="s">
        <v>109</v>
      </c>
      <c r="I3" s="27" t="s">
        <v>126</v>
      </c>
      <c r="J3" s="27" t="s">
        <v>169</v>
      </c>
      <c r="K3" s="27" t="s">
        <v>142</v>
      </c>
      <c r="L3" t="s">
        <v>170</v>
      </c>
      <c r="M3" t="s">
        <v>171</v>
      </c>
      <c r="N3" t="s">
        <v>172</v>
      </c>
    </row>
    <row r="4" spans="1:14" ht="32.4">
      <c r="A4" s="27" t="s">
        <v>79</v>
      </c>
      <c r="B4" s="27" t="s">
        <v>153</v>
      </c>
      <c r="C4" s="27" t="s">
        <v>31</v>
      </c>
      <c r="D4" s="27" t="s">
        <v>32</v>
      </c>
      <c r="E4" s="27" t="s">
        <v>37</v>
      </c>
      <c r="F4" s="27" t="s">
        <v>38</v>
      </c>
      <c r="G4" s="27" t="s">
        <v>151</v>
      </c>
      <c r="H4" s="27" t="s">
        <v>173</v>
      </c>
      <c r="I4" s="27" t="s">
        <v>174</v>
      </c>
      <c r="J4" s="27" t="s">
        <v>175</v>
      </c>
      <c r="K4" s="27" t="s">
        <v>118</v>
      </c>
      <c r="L4" t="s">
        <v>176</v>
      </c>
      <c r="M4" t="s">
        <v>177</v>
      </c>
      <c r="N4" t="s">
        <v>178</v>
      </c>
    </row>
    <row r="5" spans="1:14" ht="16.2">
      <c r="A5" s="27" t="s">
        <v>80</v>
      </c>
      <c r="F5" s="27" t="s">
        <v>40</v>
      </c>
      <c r="G5" s="27" t="s">
        <v>135</v>
      </c>
      <c r="H5" s="27" t="s">
        <v>28</v>
      </c>
      <c r="I5" s="27" t="s">
        <v>141</v>
      </c>
      <c r="J5" s="27" t="s">
        <v>179</v>
      </c>
      <c r="K5" s="27" t="s">
        <v>127</v>
      </c>
      <c r="M5" t="s">
        <v>180</v>
      </c>
    </row>
    <row r="6" spans="1:14" ht="32.4">
      <c r="A6" s="27" t="s">
        <v>81</v>
      </c>
      <c r="F6" s="27" t="s">
        <v>41</v>
      </c>
      <c r="G6" s="27" t="s">
        <v>180</v>
      </c>
      <c r="H6" s="27" t="s">
        <v>145</v>
      </c>
      <c r="I6" s="27" t="s">
        <v>136</v>
      </c>
      <c r="J6" s="27" t="s">
        <v>137</v>
      </c>
      <c r="K6" s="27" t="s">
        <v>181</v>
      </c>
    </row>
    <row r="7" spans="1:14" ht="32.4">
      <c r="A7" s="27" t="s">
        <v>82</v>
      </c>
      <c r="F7" s="27" t="s">
        <v>129</v>
      </c>
      <c r="G7" s="27" t="s">
        <v>124</v>
      </c>
      <c r="H7" s="27" t="s">
        <v>182</v>
      </c>
      <c r="J7" s="27" t="s">
        <v>183</v>
      </c>
      <c r="K7" s="27" t="s">
        <v>184</v>
      </c>
    </row>
    <row r="8" spans="1:14" ht="32.4">
      <c r="A8" s="27" t="s">
        <v>83</v>
      </c>
      <c r="F8" s="27" t="s">
        <v>185</v>
      </c>
      <c r="G8" s="27" t="s">
        <v>177</v>
      </c>
      <c r="H8" s="27" t="s">
        <v>186</v>
      </c>
      <c r="J8" s="27" t="s">
        <v>145</v>
      </c>
      <c r="K8" s="27" t="s">
        <v>187</v>
      </c>
    </row>
    <row r="9" spans="1:14" ht="16.2">
      <c r="A9" t="s">
        <v>188</v>
      </c>
      <c r="F9" s="27" t="s">
        <v>132</v>
      </c>
      <c r="G9" s="27" t="s">
        <v>189</v>
      </c>
      <c r="H9" s="27" t="s">
        <v>42</v>
      </c>
      <c r="J9" s="27" t="s">
        <v>182</v>
      </c>
      <c r="K9" s="27" t="s">
        <v>180</v>
      </c>
    </row>
    <row r="10" spans="1:14" ht="16.2">
      <c r="A10" t="s">
        <v>190</v>
      </c>
      <c r="F10" s="27" t="s">
        <v>163</v>
      </c>
      <c r="J10" s="27" t="s">
        <v>191</v>
      </c>
    </row>
    <row r="11" spans="1:14" ht="16.2">
      <c r="A11" t="s">
        <v>42</v>
      </c>
      <c r="F11" s="27" t="s">
        <v>42</v>
      </c>
      <c r="J11" s="27" t="s">
        <v>192</v>
      </c>
    </row>
    <row r="12" spans="1:14" ht="16.2">
      <c r="J12" s="27" t="s">
        <v>193</v>
      </c>
    </row>
    <row r="13" spans="1:14" ht="32.4">
      <c r="J13" s="27" t="s">
        <v>194</v>
      </c>
    </row>
    <row r="14" spans="1:14" ht="16.2">
      <c r="J14" s="27" t="s">
        <v>195</v>
      </c>
    </row>
    <row r="15" spans="1:14" ht="16.2">
      <c r="J15" s="27" t="s">
        <v>196</v>
      </c>
    </row>
    <row r="16" spans="1:14" ht="16.2">
      <c r="J16" s="27" t="s">
        <v>197</v>
      </c>
    </row>
    <row r="17" spans="10:10" ht="16.2">
      <c r="J17" s="27" t="s">
        <v>42</v>
      </c>
    </row>
  </sheetData>
  <phoneticPr fontId="23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2f0cd4-8225-4a55-8cf7-76a85fa7deb7">
      <Terms xmlns="http://schemas.microsoft.com/office/infopath/2007/PartnerControls"/>
    </lcf76f155ced4ddcb4097134ff3c332f>
    <TaxCatchAll xmlns="f281340c-165b-4055-ac48-cd980204be6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6C564AA9B646648823931396F70F419" ma:contentTypeVersion="11" ma:contentTypeDescription="新しいドキュメントを作成します。" ma:contentTypeScope="" ma:versionID="518ffb0f0c1495d3478335ec33e96060">
  <xsd:schema xmlns:xsd="http://www.w3.org/2001/XMLSchema" xmlns:xs="http://www.w3.org/2001/XMLSchema" xmlns:p="http://schemas.microsoft.com/office/2006/metadata/properties" xmlns:ns2="2e2f0cd4-8225-4a55-8cf7-76a85fa7deb7" xmlns:ns3="f281340c-165b-4055-ac48-cd980204be67" targetNamespace="http://schemas.microsoft.com/office/2006/metadata/properties" ma:root="true" ma:fieldsID="a02a6758fa49669a1da0c801ae8db60e" ns2:_="" ns3:_="">
    <xsd:import namespace="2e2f0cd4-8225-4a55-8cf7-76a85fa7deb7"/>
    <xsd:import namespace="f281340c-165b-4055-ac48-cd980204be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f0cd4-8225-4a55-8cf7-76a85fa7de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03905b6f-01b9-424d-897a-525c9b467f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81340c-165b-4055-ac48-cd980204be6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ffacdd3-7a04-4d67-af63-c9cd9e7d11f5}" ma:internalName="TaxCatchAll" ma:showField="CatchAllData" ma:web="f281340c-165b-4055-ac48-cd980204be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D0E1CF-8297-48E9-BB4A-F3853C7D168E}">
  <ds:schemaRefs>
    <ds:schemaRef ds:uri="http://www.w3.org/XML/1998/namespace"/>
    <ds:schemaRef ds:uri="http://purl.org/dc/terms/"/>
    <ds:schemaRef ds:uri="f281340c-165b-4055-ac48-cd980204be67"/>
    <ds:schemaRef ds:uri="http://purl.org/dc/dcmitype/"/>
    <ds:schemaRef ds:uri="2e2f0cd4-8225-4a55-8cf7-76a85fa7deb7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AC9F42FE-E462-41A7-9EE5-E992FB7925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2f0cd4-8225-4a55-8cf7-76a85fa7deb7"/>
    <ds:schemaRef ds:uri="f281340c-165b-4055-ac48-cd980204be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AC63FA-B1C8-4523-BBBE-5193A63824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社長報告08_05</vt:lpstr>
      <vt:lpstr>KPIダッシュボード</vt:lpstr>
      <vt:lpstr>日次レポート</vt:lpstr>
      <vt:lpstr>応募者データ</vt:lpstr>
      <vt:lpstr>マスタ</vt:lpstr>
      <vt:lpstr>社長報告08_05!Print_Area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ASAMI ENDO</cp:lastModifiedBy>
  <cp:revision/>
  <dcterms:created xsi:type="dcterms:W3CDTF">2026-08-05T00:23:50Z</dcterms:created>
  <dcterms:modified xsi:type="dcterms:W3CDTF">2026-08-07T06:06:36Z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0x01010096C564AA9B646648823931396F70F419</vt:lpwstr>
  </property>
  <property fmtid="{D5CDD505-2E9C-101B-9397-08002B2CF9AE}" pid="3" name="MediaServiceImageTags">
    <vt:lpwstr/>
  </property>
</Properties>
</file>