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報" sheetId="1" state="visible" r:id="rId1"/>
    <sheet name="便一覧" sheetId="2" state="visible" r:id="rId2"/>
    <sheet name="時間帯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Meiryo"/>
      <b val="1"/>
      <color rgb="00FFFFFF"/>
      <sz val="14"/>
    </font>
    <font>
      <name val="Meiryo"/>
      <b val="1"/>
      <color rgb="00FFFFFF"/>
      <sz val="10"/>
    </font>
    <font>
      <name val="Meiryo"/>
      <color rgb="00222222"/>
      <sz val="10"/>
    </font>
    <font>
      <name val="Meiryo"/>
      <b val="1"/>
      <color rgb="00222222"/>
      <sz val="10"/>
    </font>
    <font>
      <name val="Meiryo"/>
      <color rgb="00888888"/>
      <sz val="9"/>
    </font>
    <font>
      <name val="Meiryo"/>
      <i val="1"/>
      <color rgb="00666666"/>
      <sz val="8"/>
    </font>
    <font>
      <name val="Meiryo"/>
      <color rgb="00FFFFFF"/>
      <sz val="9"/>
    </font>
    <font>
      <name val="Meiryo"/>
      <sz val="9"/>
    </font>
    <font>
      <name val="Meiryo"/>
      <color rgb="00AAAAAA"/>
      <sz val="8"/>
    </font>
    <font>
      <name val="Meiryo"/>
      <b val="1"/>
      <color rgb="001E2761"/>
      <sz val="9"/>
    </font>
    <font>
      <name val="Meiryo"/>
      <b val="1"/>
      <sz val="9"/>
    </font>
    <font>
      <name val="Meiryo"/>
      <b val="1"/>
      <color rgb="00FFFFFF"/>
      <sz val="18"/>
    </font>
    <font>
      <name val="Meiryo"/>
      <b val="1"/>
      <color rgb="001E2761"/>
      <sz val="12"/>
    </font>
    <font>
      <name val="Meiryo"/>
      <color rgb="00666666"/>
      <sz val="9"/>
    </font>
  </fonts>
  <fills count="9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FFFFF"/>
      </patternFill>
    </fill>
    <fill>
      <patternFill patternType="solid">
        <fgColor rgb="00FBEAD2"/>
      </patternFill>
    </fill>
    <fill>
      <patternFill patternType="solid">
        <fgColor rgb="00CADCFC"/>
      </patternFill>
    </fill>
    <fill>
      <patternFill patternType="solid">
        <fgColor rgb="00F2F2F2"/>
      </patternFill>
    </fill>
    <fill>
      <patternFill patternType="solid">
        <fgColor rgb="00F6C445"/>
      </patternFill>
    </fill>
    <fill>
      <patternFill patternType="solid">
        <fgColor rgb="00C0392B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2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/>
    </xf>
    <xf numFmtId="0" fontId="13" fillId="0" borderId="0" pivotButton="0" quotePrefix="0" xfId="0"/>
    <xf numFmtId="0" fontId="3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1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/>
    </xf>
    <xf numFmtId="164" fontId="13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時間帯別 稼働便数（計算式ベース）</a:t>
            </a:r>
          </a:p>
        </rich>
      </tx>
    </title>
    <plotArea>
      <areaChart>
        <grouping val="standard"/>
        <ser>
          <idx val="0"/>
          <order val="0"/>
          <tx>
            <strRef>
              <f>'時間帯別'!B4</f>
            </strRef>
          </tx>
          <spPr>
            <a:solidFill>
              <a:srgbClr val="1E2761"/>
            </a:solidFill>
            <a:ln>
              <a:solidFill>
                <a:srgbClr val="1E2761"/>
              </a:solidFill>
              <a:prstDash val="solid"/>
            </a:ln>
          </spPr>
          <cat>
            <numRef>
              <f>'時間帯別'!$A$5:$A$33</f>
            </numRef>
          </cat>
          <val>
            <numRef>
              <f>'時間帯別'!$B$5:$B$33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時刻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同時稼働便数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14" customWidth="1" min="3" max="3"/>
    <col width="12" customWidth="1" min="4" max="4"/>
    <col width="16" customWidth="1" min="5" max="5"/>
  </cols>
  <sheetData>
    <row r="1" ht="34" customHeight="1">
      <c r="A1" s="1" t="inlineStr">
        <is>
          <t>成田・朝の運用 日報</t>
        </is>
      </c>
    </row>
    <row r="2" ht="18" customHeight="1">
      <c r="A2" s="2" t="inlineStr">
        <is>
          <t>対象：成田空港事業部ハンドリング便（26W想定）／更新日：2026-08-07／数値はすべて計算式で自動集計</t>
        </is>
      </c>
    </row>
    <row r="4" ht="22" customHeight="1">
      <c r="A4" s="3" t="inlineStr">
        <is>
          <t>■ 運用サマリー（KPI）</t>
        </is>
      </c>
    </row>
    <row r="5" ht="22" customHeight="1">
      <c r="A5" s="4" t="inlineStr">
        <is>
          <t>総取扱便数</t>
        </is>
      </c>
      <c r="B5" s="5" t="n"/>
      <c r="C5" s="5" t="n"/>
      <c r="D5" s="6">
        <f>COUNTA(便一覧!$C$4:$C$17)</f>
        <v/>
      </c>
      <c r="E5" s="7" t="inlineStr">
        <is>
          <t>便</t>
        </is>
      </c>
    </row>
    <row r="6" ht="22" customHeight="1">
      <c r="A6" s="4" t="inlineStr">
        <is>
          <t>朝便数（06:00〜10:59）</t>
        </is>
      </c>
      <c r="B6" s="5" t="n"/>
      <c r="C6" s="5" t="n"/>
      <c r="D6" s="6">
        <f>COUNTIF(便一覧!$H$4:$H$17,"朝")</f>
        <v/>
      </c>
      <c r="E6" s="7" t="inlineStr">
        <is>
          <t>便</t>
        </is>
      </c>
    </row>
    <row r="7" ht="22" customHeight="1">
      <c r="A7" s="4" t="inlineStr">
        <is>
          <t>朝便の比率</t>
        </is>
      </c>
      <c r="B7" s="5" t="n"/>
      <c r="C7" s="5" t="n"/>
      <c r="D7" s="8">
        <f>COUNTIF(便一覧!$H$4:$H$17,"朝")/COUNTA(便一覧!$C$4:$C$17)</f>
        <v/>
      </c>
      <c r="E7" s="7" t="inlineStr"/>
    </row>
    <row r="8" ht="22" customHeight="1">
      <c r="A8" s="4" t="inlineStr">
        <is>
          <t>パート配置候補（◯）</t>
        </is>
      </c>
      <c r="B8" s="5" t="n"/>
      <c r="C8" s="5" t="n"/>
      <c r="D8" s="6">
        <f>COUNTIF(便一覧!$J$4:$J$17,"◯")</f>
        <v/>
      </c>
      <c r="E8" s="7" t="inlineStr">
        <is>
          <t>便</t>
        </is>
      </c>
    </row>
    <row r="9" ht="22" customHeight="1">
      <c r="A9" s="4" t="inlineStr">
        <is>
          <t>ピーク同時稼働便数</t>
        </is>
      </c>
      <c r="B9" s="5" t="n"/>
      <c r="C9" s="5" t="n"/>
      <c r="D9" s="6">
        <f>MAX(時間帯別!$B$5:$B$33)</f>
        <v/>
      </c>
      <c r="E9" s="7" t="inlineStr">
        <is>
          <t>便</t>
        </is>
      </c>
    </row>
    <row r="10" ht="22" customHeight="1">
      <c r="A10" s="4" t="inlineStr">
        <is>
          <t>ピーク時刻</t>
        </is>
      </c>
      <c r="B10" s="5" t="n"/>
      <c r="C10" s="5" t="n"/>
      <c r="D10" s="6">
        <f>INDEX(時間帯別!$A$5:$A$33,MATCH(MAX(時間帯別!$B$5:$B$33),時間帯別!$B$5:$B$33,0))</f>
        <v/>
      </c>
      <c r="E10" s="7" t="inlineStr">
        <is>
          <t>時刻</t>
        </is>
      </c>
    </row>
    <row r="11" ht="22" customHeight="1">
      <c r="A11" s="4" t="inlineStr">
        <is>
          <t>延べ稼働（30分×便）</t>
        </is>
      </c>
      <c r="B11" s="5" t="n"/>
      <c r="C11" s="5" t="n"/>
      <c r="D11" s="6">
        <f>SUM(時間帯別!$B$5:$B$33)</f>
        <v/>
      </c>
      <c r="E11" s="7" t="inlineStr">
        <is>
          <t>コマ</t>
        </is>
      </c>
    </row>
    <row r="12" ht="22" customHeight="1">
      <c r="A12" s="4" t="inlineStr">
        <is>
          <t>朝(〜10:00)延べ稼働の比率</t>
        </is>
      </c>
      <c r="B12" s="5" t="n"/>
      <c r="C12" s="5" t="n"/>
      <c r="D12" s="8">
        <f>SUMPRODUCT((時間帯別!$C$5:$C$33&lt;600)*時間帯別!$B$5:$B$33)/SUM(時間帯別!$B$5:$B$33)</f>
        <v/>
      </c>
      <c r="E12" s="7" t="inlineStr"/>
    </row>
    <row r="14" ht="22" customHeight="1">
      <c r="A14" s="3" t="inlineStr">
        <is>
          <t>■ アクション（Action / TODO / Responsible / STATUS / DUE DATE）</t>
        </is>
      </c>
    </row>
    <row r="15" ht="22" customHeight="1">
      <c r="A15" s="9" t="inlineStr">
        <is>
          <t>Action</t>
        </is>
      </c>
      <c r="B15" s="9" t="inlineStr">
        <is>
          <t>TODO</t>
        </is>
      </c>
      <c r="C15" s="9" t="inlineStr">
        <is>
          <t>Responsible</t>
        </is>
      </c>
      <c r="D15" s="9" t="inlineStr">
        <is>
          <t>STATUS</t>
        </is>
      </c>
      <c r="E15" s="9" t="inlineStr">
        <is>
          <t>DUE DATE</t>
        </is>
      </c>
    </row>
    <row r="16" ht="40" customHeight="1">
      <c r="A16" s="10" t="inlineStr">
        <is>
          <t>Winter Schedule(26W)を基準に時間帯別の必要出面を確定する</t>
        </is>
      </c>
      <c r="B16" s="10" t="inlineStr">
        <is>
          <t>各支店で『何時に・どのポジションで・何人不足』を算出し集約</t>
        </is>
      </c>
      <c r="C16" s="11" t="inlineStr">
        <is>
          <t>各支店・所属長</t>
        </is>
      </c>
      <c r="D16" s="12" t="inlineStr">
        <is>
          <t>進行中</t>
        </is>
      </c>
      <c r="E16" s="11" t="inlineStr">
        <is>
          <t>8月末</t>
        </is>
      </c>
    </row>
    <row r="17" ht="40" customHeight="1">
      <c r="A17" s="13" t="inlineStr">
        <is>
          <t>先行10名（成田・新千歳）を必要出面から逆算して再設定する</t>
        </is>
      </c>
      <c r="B17" s="13" t="inlineStr">
        <is>
          <t>不足出面を集約し、採用時間帯・人数を確定（10名は暫定値）</t>
        </is>
      </c>
      <c r="C17" s="14" t="inlineStr">
        <is>
          <t>人事</t>
        </is>
      </c>
      <c r="D17" s="12" t="inlineStr">
        <is>
          <t>進行中</t>
        </is>
      </c>
      <c r="E17" s="14" t="inlineStr">
        <is>
          <t>9月中旬</t>
        </is>
      </c>
    </row>
    <row r="18" ht="40" customHeight="1">
      <c r="A18" s="10" t="inlineStr">
        <is>
          <t>短時間勤務者の勤務時間・シフトへの落とし込みルールを決める</t>
        </is>
      </c>
      <c r="B18" s="10" t="inlineStr">
        <is>
          <t>朝ピーク（06:30〜09:30）を軸に既存シフトへ組み込む運用ルールを策定</t>
        </is>
      </c>
      <c r="C18" s="11" t="inlineStr">
        <is>
          <t>現場＋人事</t>
        </is>
      </c>
      <c r="D18" s="15" t="inlineStr">
        <is>
          <t>着手前</t>
        </is>
      </c>
      <c r="E18" s="11" t="inlineStr">
        <is>
          <t>26W稼働−4週</t>
        </is>
      </c>
    </row>
    <row r="19" ht="40" customHeight="1">
      <c r="A19" s="13" t="inlineStr">
        <is>
          <t>配置候補便（◯）への有資格者の割当てを整理する</t>
        </is>
      </c>
      <c r="B19" s="13" t="inlineStr">
        <is>
          <t>CKIN・GATE・ARR等、必要資格の付与手順と有資格者の棚卸し</t>
        </is>
      </c>
      <c r="C19" s="14" t="inlineStr">
        <is>
          <t>現場＋人事</t>
        </is>
      </c>
      <c r="D19" s="15" t="inlineStr">
        <is>
          <t>着手前</t>
        </is>
      </c>
      <c r="E19" s="14" t="inlineStr">
        <is>
          <t>26W稼働−6週</t>
        </is>
      </c>
    </row>
    <row r="20" ht="40" customHeight="1">
      <c r="A20" s="10" t="inlineStr">
        <is>
          <t>『必要出面を何時間補完できたか』で効果を検証する仕組みを作る</t>
        </is>
      </c>
      <c r="B20" s="10" t="inlineStr">
        <is>
          <t>採用数ではなくライン投入・出面補完率でKPIを定義しモニタリング</t>
        </is>
      </c>
      <c r="C20" s="11" t="inlineStr">
        <is>
          <t>採用担当</t>
        </is>
      </c>
      <c r="D20" s="15" t="inlineStr">
        <is>
          <t>着手前</t>
        </is>
      </c>
      <c r="E20" s="11" t="inlineStr">
        <is>
          <t>採用開始後</t>
        </is>
      </c>
    </row>
    <row r="21" ht="30" customHeight="1">
      <c r="A21" s="16" t="inlineStr">
        <is>
          <t>凡例）STATUS：着手前（赤）／進行中（黄）／完了（緑）。DUE DATE の「26W稼働−n週」はWinter Schedule 稼働日からの逆算。KPI・稼働便数はすべて計算式（便一覧を直せば自動再計算）。</t>
        </is>
      </c>
    </row>
  </sheetData>
  <mergeCells count="13">
    <mergeCell ref="A10:C10"/>
    <mergeCell ref="A21:E21"/>
    <mergeCell ref="A4:E4"/>
    <mergeCell ref="A11:C11"/>
    <mergeCell ref="A2:E2"/>
    <mergeCell ref="A5:C5"/>
    <mergeCell ref="A8:C8"/>
    <mergeCell ref="A6:C6"/>
    <mergeCell ref="A9:C9"/>
    <mergeCell ref="A1:E1"/>
    <mergeCell ref="A14:E14"/>
    <mergeCell ref="A12:C12"/>
    <mergeCell ref="A7:C7"/>
  </mergeCells>
  <printOptions horizontalCentered="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8" customWidth="1" min="8" max="8"/>
    <col width="12" customWidth="1" min="9" max="9"/>
    <col width="16" customWidth="1" min="10" max="10"/>
    <col hidden="1" width="9" customWidth="1" min="11" max="11"/>
    <col hidden="1" width="9" customWidth="1" min="12" max="12"/>
  </cols>
  <sheetData>
    <row r="1" ht="26" customHeight="1">
      <c r="A1" s="17" t="inlineStr">
        <is>
          <t>成田・地上ハンドリング便 一覧（実線表ベース・計算式のソースデータ）</t>
        </is>
      </c>
    </row>
    <row r="3" ht="22" customHeight="1">
      <c r="A3" s="9" t="inlineStr">
        <is>
          <t>No.</t>
        </is>
      </c>
      <c r="B3" s="9" t="inlineStr">
        <is>
          <t>Carrier</t>
        </is>
      </c>
      <c r="C3" s="9" t="inlineStr">
        <is>
          <t>便名</t>
        </is>
      </c>
      <c r="D3" s="9" t="inlineStr">
        <is>
          <t>行先</t>
        </is>
      </c>
      <c r="E3" s="9" t="inlineStr">
        <is>
          <t>到着 STA</t>
        </is>
      </c>
      <c r="F3" s="9" t="inlineStr">
        <is>
          <t>出発 STD</t>
        </is>
      </c>
      <c r="G3" s="9" t="inlineStr">
        <is>
          <t>CTR OPEN</t>
        </is>
      </c>
      <c r="H3" s="9" t="inlineStr">
        <is>
          <t>時間帯</t>
        </is>
      </c>
      <c r="I3" s="9" t="inlineStr">
        <is>
          <t>運航日</t>
        </is>
      </c>
      <c r="J3" s="9" t="inlineStr">
        <is>
          <t>パート配置</t>
        </is>
      </c>
      <c r="K3" s="9" t="inlineStr">
        <is>
          <t>開始(分)</t>
        </is>
      </c>
      <c r="L3" s="9" t="inlineStr">
        <is>
          <t>終了(分)</t>
        </is>
      </c>
    </row>
    <row r="4" ht="20" customHeight="1">
      <c r="A4" s="11" t="n">
        <v>1</v>
      </c>
      <c r="B4" s="18" t="inlineStr">
        <is>
          <t>AM</t>
        </is>
      </c>
      <c r="C4" s="19" t="inlineStr">
        <is>
          <t>AM058/057</t>
        </is>
      </c>
      <c r="D4" s="11" t="inlineStr">
        <is>
          <t>MEX</t>
        </is>
      </c>
      <c r="E4" s="11" t="inlineStr">
        <is>
          <t>06:30</t>
        </is>
      </c>
      <c r="F4" s="11" t="inlineStr">
        <is>
          <t>09:35</t>
        </is>
      </c>
      <c r="G4" s="11" t="inlineStr">
        <is>
          <t>06:30</t>
        </is>
      </c>
      <c r="H4" s="11" t="inlineStr">
        <is>
          <t>朝</t>
        </is>
      </c>
      <c r="I4" s="11" t="inlineStr">
        <is>
          <t>毎日</t>
        </is>
      </c>
      <c r="J4" s="11" t="inlineStr">
        <is>
          <t>◯</t>
        </is>
      </c>
      <c r="K4" s="20">
        <f>MIN(TIMEVALUE(G4),TIMEVALUE(E4))*1440</f>
        <v/>
      </c>
      <c r="L4" s="20">
        <f>TIMEVALUE(F4)*1440</f>
        <v/>
      </c>
    </row>
    <row r="5" ht="20" customHeight="1">
      <c r="A5" s="11" t="n">
        <v>2</v>
      </c>
      <c r="B5" s="18" t="inlineStr">
        <is>
          <t>VN</t>
        </is>
      </c>
      <c r="C5" s="19" t="inlineStr">
        <is>
          <t>VN318/319</t>
        </is>
      </c>
      <c r="D5" s="11" t="inlineStr">
        <is>
          <t>DAD</t>
        </is>
      </c>
      <c r="E5" s="11" t="inlineStr">
        <is>
          <t>07:35</t>
        </is>
      </c>
      <c r="F5" s="11" t="inlineStr">
        <is>
          <t>09:00</t>
        </is>
      </c>
      <c r="G5" s="11" t="inlineStr">
        <is>
          <t>06:00</t>
        </is>
      </c>
      <c r="H5" s="11" t="inlineStr">
        <is>
          <t>朝</t>
        </is>
      </c>
      <c r="I5" s="11" t="inlineStr">
        <is>
          <t>毎日</t>
        </is>
      </c>
      <c r="J5" s="11" t="inlineStr">
        <is>
          <t>◯</t>
        </is>
      </c>
      <c r="K5" s="20">
        <f>MIN(TIMEVALUE(G5),TIMEVALUE(E5))*1440</f>
        <v/>
      </c>
      <c r="L5" s="20">
        <f>TIMEVALUE(F5)*1440</f>
        <v/>
      </c>
    </row>
    <row r="6" ht="20" customHeight="1">
      <c r="A6" s="11" t="n">
        <v>3</v>
      </c>
      <c r="B6" s="18" t="inlineStr">
        <is>
          <t>VN</t>
        </is>
      </c>
      <c r="C6" s="19" t="inlineStr">
        <is>
          <t>VN310/311</t>
        </is>
      </c>
      <c r="D6" s="11" t="inlineStr">
        <is>
          <t>HAN</t>
        </is>
      </c>
      <c r="E6" s="11" t="inlineStr">
        <is>
          <t>07:35</t>
        </is>
      </c>
      <c r="F6" s="11" t="inlineStr">
        <is>
          <t>09:30</t>
        </is>
      </c>
      <c r="G6" s="11" t="inlineStr">
        <is>
          <t>06:30</t>
        </is>
      </c>
      <c r="H6" s="11" t="inlineStr">
        <is>
          <t>朝</t>
        </is>
      </c>
      <c r="I6" s="11" t="inlineStr">
        <is>
          <t>毎日</t>
        </is>
      </c>
      <c r="J6" s="11" t="inlineStr">
        <is>
          <t>◯</t>
        </is>
      </c>
      <c r="K6" s="20">
        <f>MIN(TIMEVALUE(G6),TIMEVALUE(E6))*1440</f>
        <v/>
      </c>
      <c r="L6" s="20">
        <f>TIMEVALUE(F6)*1440</f>
        <v/>
      </c>
    </row>
    <row r="7" ht="20" customHeight="1">
      <c r="A7" s="11" t="n">
        <v>4</v>
      </c>
      <c r="B7" s="18" t="inlineStr">
        <is>
          <t>VN</t>
        </is>
      </c>
      <c r="C7" s="19" t="inlineStr">
        <is>
          <t>VN306/307</t>
        </is>
      </c>
      <c r="D7" s="11" t="inlineStr">
        <is>
          <t>SGN</t>
        </is>
      </c>
      <c r="E7" s="11" t="inlineStr">
        <is>
          <t>08:00</t>
        </is>
      </c>
      <c r="F7" s="11" t="inlineStr">
        <is>
          <t>09:30</t>
        </is>
      </c>
      <c r="G7" s="11" t="inlineStr">
        <is>
          <t>06:30</t>
        </is>
      </c>
      <c r="H7" s="11" t="inlineStr">
        <is>
          <t>朝</t>
        </is>
      </c>
      <c r="I7" s="11" t="inlineStr">
        <is>
          <t>毎日</t>
        </is>
      </c>
      <c r="J7" s="11" t="inlineStr">
        <is>
          <t>◯</t>
        </is>
      </c>
      <c r="K7" s="20">
        <f>MIN(TIMEVALUE(G7),TIMEVALUE(E7))*1440</f>
        <v/>
      </c>
      <c r="L7" s="20">
        <f>TIMEVALUE(F7)*1440</f>
        <v/>
      </c>
    </row>
    <row r="8" ht="20" customHeight="1">
      <c r="A8" s="11" t="n">
        <v>5</v>
      </c>
      <c r="B8" s="18" t="inlineStr">
        <is>
          <t>VN</t>
        </is>
      </c>
      <c r="C8" s="19" t="inlineStr">
        <is>
          <t>VN316/317</t>
        </is>
      </c>
      <c r="D8" s="11" t="inlineStr">
        <is>
          <t>DAD</t>
        </is>
      </c>
      <c r="E8" s="11" t="inlineStr">
        <is>
          <t>08:30</t>
        </is>
      </c>
      <c r="F8" s="11" t="inlineStr">
        <is>
          <t>10:30</t>
        </is>
      </c>
      <c r="G8" s="11" t="inlineStr">
        <is>
          <t>07:30</t>
        </is>
      </c>
      <c r="H8" s="11" t="inlineStr">
        <is>
          <t>朝</t>
        </is>
      </c>
      <c r="I8" s="11" t="inlineStr">
        <is>
          <t>月木金土日</t>
        </is>
      </c>
      <c r="J8" s="11" t="inlineStr">
        <is>
          <t>◯</t>
        </is>
      </c>
      <c r="K8" s="20">
        <f>MIN(TIMEVALUE(G8),TIMEVALUE(E8))*1440</f>
        <v/>
      </c>
      <c r="L8" s="20">
        <f>TIMEVALUE(F8)*1440</f>
        <v/>
      </c>
    </row>
    <row r="9" ht="20" customHeight="1">
      <c r="A9" s="11" t="n">
        <v>6</v>
      </c>
      <c r="B9" s="18" t="inlineStr">
        <is>
          <t>VJ</t>
        </is>
      </c>
      <c r="C9" s="19" t="inlineStr">
        <is>
          <t>VJ822/823</t>
        </is>
      </c>
      <c r="D9" s="11" t="inlineStr">
        <is>
          <t>SGN</t>
        </is>
      </c>
      <c r="E9" s="11" t="inlineStr">
        <is>
          <t>07:40</t>
        </is>
      </c>
      <c r="F9" s="11" t="inlineStr">
        <is>
          <t>08:55</t>
        </is>
      </c>
      <c r="G9" s="11" t="inlineStr">
        <is>
          <t>05:55</t>
        </is>
      </c>
      <c r="H9" s="11" t="inlineStr">
        <is>
          <t>朝</t>
        </is>
      </c>
      <c r="I9" s="11" t="inlineStr">
        <is>
          <t>毎日</t>
        </is>
      </c>
      <c r="J9" s="11" t="inlineStr">
        <is>
          <t>◯</t>
        </is>
      </c>
      <c r="K9" s="20">
        <f>MIN(TIMEVALUE(G9),TIMEVALUE(E9))*1440</f>
        <v/>
      </c>
      <c r="L9" s="20">
        <f>TIMEVALUE(F9)*1440</f>
        <v/>
      </c>
    </row>
    <row r="10" ht="20" customHeight="1">
      <c r="A10" s="11" t="n">
        <v>7</v>
      </c>
      <c r="B10" s="18" t="inlineStr">
        <is>
          <t>VJ</t>
        </is>
      </c>
      <c r="C10" s="19" t="inlineStr">
        <is>
          <t>VJ932/933</t>
        </is>
      </c>
      <c r="D10" s="11" t="inlineStr">
        <is>
          <t>HAN</t>
        </is>
      </c>
      <c r="E10" s="11" t="inlineStr">
        <is>
          <t>08:00</t>
        </is>
      </c>
      <c r="F10" s="11" t="inlineStr">
        <is>
          <t>09:30</t>
        </is>
      </c>
      <c r="G10" s="11" t="inlineStr">
        <is>
          <t>06:30</t>
        </is>
      </c>
      <c r="H10" s="11" t="inlineStr">
        <is>
          <t>朝</t>
        </is>
      </c>
      <c r="I10" s="11" t="inlineStr">
        <is>
          <t>毎日</t>
        </is>
      </c>
      <c r="J10" s="11" t="inlineStr">
        <is>
          <t>◯</t>
        </is>
      </c>
      <c r="K10" s="20">
        <f>MIN(TIMEVALUE(G10),TIMEVALUE(E10))*1440</f>
        <v/>
      </c>
      <c r="L10" s="20">
        <f>TIMEVALUE(F10)*1440</f>
        <v/>
      </c>
    </row>
    <row r="11" ht="20" customHeight="1">
      <c r="A11" s="11" t="n">
        <v>8</v>
      </c>
      <c r="B11" s="18" t="inlineStr">
        <is>
          <t>5J</t>
        </is>
      </c>
      <c r="C11" s="19" t="inlineStr">
        <is>
          <t>5J5062/063</t>
        </is>
      </c>
      <c r="D11" s="11" t="inlineStr">
        <is>
          <t>CEB</t>
        </is>
      </c>
      <c r="E11" s="11" t="inlineStr">
        <is>
          <t>08:10</t>
        </is>
      </c>
      <c r="F11" s="11" t="inlineStr">
        <is>
          <t>08:55</t>
        </is>
      </c>
      <c r="G11" s="11" t="inlineStr">
        <is>
          <t>05:55</t>
        </is>
      </c>
      <c r="H11" s="11" t="inlineStr">
        <is>
          <t>朝</t>
        </is>
      </c>
      <c r="I11" s="11" t="inlineStr">
        <is>
          <t>毎日</t>
        </is>
      </c>
      <c r="J11" s="11" t="inlineStr">
        <is>
          <t>◯</t>
        </is>
      </c>
      <c r="K11" s="20">
        <f>MIN(TIMEVALUE(G11),TIMEVALUE(E11))*1440</f>
        <v/>
      </c>
      <c r="L11" s="20">
        <f>TIMEVALUE(F11)*1440</f>
        <v/>
      </c>
    </row>
    <row r="12" ht="20" customHeight="1">
      <c r="A12" s="11" t="n">
        <v>9</v>
      </c>
      <c r="B12" s="18" t="inlineStr">
        <is>
          <t>5J</t>
        </is>
      </c>
      <c r="C12" s="19" t="inlineStr">
        <is>
          <t>5J5068/069</t>
        </is>
      </c>
      <c r="D12" s="11" t="inlineStr">
        <is>
          <t>CRK</t>
        </is>
      </c>
      <c r="E12" s="11" t="inlineStr">
        <is>
          <t>10:25</t>
        </is>
      </c>
      <c r="F12" s="11" t="inlineStr">
        <is>
          <t>11:15</t>
        </is>
      </c>
      <c r="G12" s="11" t="inlineStr">
        <is>
          <t>08:15</t>
        </is>
      </c>
      <c r="H12" s="11" t="inlineStr">
        <is>
          <t>朝</t>
        </is>
      </c>
      <c r="I12" s="11" t="inlineStr">
        <is>
          <t>毎日</t>
        </is>
      </c>
      <c r="J12" s="11" t="inlineStr">
        <is>
          <t>◯</t>
        </is>
      </c>
      <c r="K12" s="20">
        <f>MIN(TIMEVALUE(G12),TIMEVALUE(E12))*1440</f>
        <v/>
      </c>
      <c r="L12" s="20">
        <f>TIMEVALUE(F12)*1440</f>
        <v/>
      </c>
    </row>
    <row r="13" ht="20" customHeight="1">
      <c r="A13" s="11" t="n">
        <v>10</v>
      </c>
      <c r="B13" s="18" t="inlineStr">
        <is>
          <t>RF</t>
        </is>
      </c>
      <c r="C13" s="19" t="inlineStr">
        <is>
          <t>RF392/391</t>
        </is>
      </c>
      <c r="D13" s="11" t="inlineStr">
        <is>
          <t>CJJ</t>
        </is>
      </c>
      <c r="E13" s="11" t="inlineStr">
        <is>
          <t>09:40</t>
        </is>
      </c>
      <c r="F13" s="11" t="inlineStr">
        <is>
          <t>10:40</t>
        </is>
      </c>
      <c r="G13" s="11" t="inlineStr">
        <is>
          <t>08:10</t>
        </is>
      </c>
      <c r="H13" s="11" t="inlineStr">
        <is>
          <t>朝</t>
        </is>
      </c>
      <c r="I13" s="11" t="inlineStr">
        <is>
          <t>毎日</t>
        </is>
      </c>
      <c r="J13" s="11" t="inlineStr">
        <is>
          <t>◯</t>
        </is>
      </c>
      <c r="K13" s="20">
        <f>MIN(TIMEVALUE(G13),TIMEVALUE(E13))*1440</f>
        <v/>
      </c>
      <c r="L13" s="20">
        <f>TIMEVALUE(F13)*1440</f>
        <v/>
      </c>
    </row>
    <row r="14" ht="20" customHeight="1">
      <c r="A14" s="11" t="n">
        <v>11</v>
      </c>
      <c r="B14" s="18" t="inlineStr">
        <is>
          <t>UL</t>
        </is>
      </c>
      <c r="C14" s="19" t="inlineStr">
        <is>
          <t>UL454/455</t>
        </is>
      </c>
      <c r="D14" s="11" t="inlineStr">
        <is>
          <t>CMB</t>
        </is>
      </c>
      <c r="E14" s="11" t="inlineStr">
        <is>
          <t>08:10</t>
        </is>
      </c>
      <c r="F14" s="11" t="inlineStr">
        <is>
          <t>11:15</t>
        </is>
      </c>
      <c r="G14" s="11" t="inlineStr">
        <is>
          <t>08:15</t>
        </is>
      </c>
      <c r="H14" s="11" t="inlineStr">
        <is>
          <t>朝</t>
        </is>
      </c>
      <c r="I14" s="11" t="inlineStr">
        <is>
          <t>火木土</t>
        </is>
      </c>
      <c r="J14" s="11" t="inlineStr">
        <is>
          <t>◯</t>
        </is>
      </c>
      <c r="K14" s="20">
        <f>MIN(TIMEVALUE(G14),TIMEVALUE(E14))*1440</f>
        <v/>
      </c>
      <c r="L14" s="20">
        <f>TIMEVALUE(F14)*1440</f>
        <v/>
      </c>
    </row>
    <row r="15" ht="20" customHeight="1">
      <c r="A15" s="21" t="n">
        <v>12</v>
      </c>
      <c r="B15" s="22" t="inlineStr">
        <is>
          <t>5J</t>
        </is>
      </c>
      <c r="C15" s="23" t="inlineStr">
        <is>
          <t>5J5054/055</t>
        </is>
      </c>
      <c r="D15" s="21" t="inlineStr">
        <is>
          <t>MNL</t>
        </is>
      </c>
      <c r="E15" s="21" t="inlineStr">
        <is>
          <t>12:25</t>
        </is>
      </c>
      <c r="F15" s="21" t="inlineStr">
        <is>
          <t>13:45</t>
        </is>
      </c>
      <c r="G15" s="21" t="inlineStr">
        <is>
          <t>10:45</t>
        </is>
      </c>
      <c r="H15" s="21" t="inlineStr">
        <is>
          <t>昼</t>
        </is>
      </c>
      <c r="I15" s="21" t="inlineStr">
        <is>
          <t>毎日</t>
        </is>
      </c>
      <c r="J15" s="21" t="inlineStr">
        <is>
          <t>△(昼)</t>
        </is>
      </c>
      <c r="K15" s="20">
        <f>MIN(TIMEVALUE(G15),TIMEVALUE(E15))*1440</f>
        <v/>
      </c>
      <c r="L15" s="20">
        <f>TIMEVALUE(F15)*1440</f>
        <v/>
      </c>
    </row>
    <row r="16" ht="20" customHeight="1">
      <c r="A16" s="21" t="n">
        <v>13</v>
      </c>
      <c r="B16" s="22" t="inlineStr">
        <is>
          <t>VJ</t>
        </is>
      </c>
      <c r="C16" s="23" t="inlineStr">
        <is>
          <t>VJ934/935</t>
        </is>
      </c>
      <c r="D16" s="21" t="inlineStr">
        <is>
          <t>HAN</t>
        </is>
      </c>
      <c r="E16" s="21" t="inlineStr">
        <is>
          <t>15:30</t>
        </is>
      </c>
      <c r="F16" s="21" t="inlineStr">
        <is>
          <t>16:30</t>
        </is>
      </c>
      <c r="G16" s="21" t="inlineStr">
        <is>
          <t>13:30</t>
        </is>
      </c>
      <c r="H16" s="21" t="inlineStr">
        <is>
          <t>夕</t>
        </is>
      </c>
      <c r="I16" s="21" t="inlineStr">
        <is>
          <t>毎日</t>
        </is>
      </c>
      <c r="J16" s="21" t="inlineStr">
        <is>
          <t>△(Winter条件付)</t>
        </is>
      </c>
      <c r="K16" s="20">
        <f>MIN(TIMEVALUE(G16),TIMEVALUE(E16))*1440</f>
        <v/>
      </c>
      <c r="L16" s="20">
        <f>TIMEVALUE(F16)*1440</f>
        <v/>
      </c>
    </row>
    <row r="17" ht="20" customHeight="1">
      <c r="A17" s="21" t="n">
        <v>14</v>
      </c>
      <c r="B17" s="22" t="inlineStr">
        <is>
          <t>5J</t>
        </is>
      </c>
      <c r="C17" s="23" t="inlineStr">
        <is>
          <t>5J5056/057</t>
        </is>
      </c>
      <c r="D17" s="21" t="inlineStr">
        <is>
          <t>MNL</t>
        </is>
      </c>
      <c r="E17" s="21" t="inlineStr">
        <is>
          <t>18:00</t>
        </is>
      </c>
      <c r="F17" s="21" t="inlineStr">
        <is>
          <t>19:15</t>
        </is>
      </c>
      <c r="G17" s="21" t="inlineStr">
        <is>
          <t>16:15</t>
        </is>
      </c>
      <c r="H17" s="21" t="inlineStr">
        <is>
          <t>夕</t>
        </is>
      </c>
      <c r="I17" s="21" t="inlineStr">
        <is>
          <t>毎日</t>
        </is>
      </c>
      <c r="J17" s="21" t="inlineStr">
        <is>
          <t>△(夕)</t>
        </is>
      </c>
      <c r="K17" s="20">
        <f>MIN(TIMEVALUE(G17),TIMEVALUE(E17))*1440</f>
        <v/>
      </c>
      <c r="L17" s="20">
        <f>TIMEVALUE(F17)*1440</f>
        <v/>
      </c>
    </row>
    <row r="19" ht="28" customHeight="1">
      <c r="A19" s="16" t="inlineStr">
        <is>
          <t>配置：◯=朝ピークの配置候補（VN/AM/RF/5J/UL/VJ）／△=夕・昼便。K・L列（開始/終了・分）は稼働便数の計算式が参照するヘルパー列（非表示）。数値はすべて線表の実データ。</t>
        </is>
      </c>
    </row>
  </sheetData>
  <mergeCells count="2">
    <mergeCell ref="A19:L19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hidden="1" width="13" customWidth="1" min="3" max="3"/>
  </cols>
  <sheetData>
    <row r="1" ht="26" customHeight="1">
      <c r="A1" s="17" t="inlineStr">
        <is>
          <t>成田・時間帯別 稼働便数（30分刻み・計算式で自動集計）</t>
        </is>
      </c>
    </row>
    <row r="2" ht="18" customHeight="1">
      <c r="A2" s="2" t="inlineStr">
        <is>
          <t>稼働便数 = 便一覧の[開始(分)〜終了(分)]がその時刻を含む便数。時刻を直せば自動再計算される。</t>
        </is>
      </c>
    </row>
    <row r="4" ht="20" customHeight="1">
      <c r="A4" s="9" t="inlineStr">
        <is>
          <t>時刻</t>
        </is>
      </c>
      <c r="B4" s="9" t="inlineStr">
        <is>
          <t>稼働便数</t>
        </is>
      </c>
      <c r="C4" s="9" t="inlineStr">
        <is>
          <t>（分）</t>
        </is>
      </c>
    </row>
    <row r="5">
      <c r="A5" s="24" t="inlineStr">
        <is>
          <t>05:30</t>
        </is>
      </c>
      <c r="B5" s="25">
        <f>SUMPRODUCT((便一覧!$K$4:$K$17&lt;=C5)*(便一覧!$L$4:$L$17&gt;C5))</f>
        <v/>
      </c>
      <c r="C5" s="26" t="n">
        <v>330</v>
      </c>
    </row>
    <row r="6">
      <c r="A6" s="24" t="inlineStr">
        <is>
          <t>06:00</t>
        </is>
      </c>
      <c r="B6" s="25">
        <f>SUMPRODUCT((便一覧!$K$4:$K$17&lt;=C6)*(便一覧!$L$4:$L$17&gt;C6))</f>
        <v/>
      </c>
      <c r="C6" s="26" t="n">
        <v>360</v>
      </c>
    </row>
    <row r="7">
      <c r="A7" s="24" t="inlineStr">
        <is>
          <t>06:30</t>
        </is>
      </c>
      <c r="B7" s="25">
        <f>SUMPRODUCT((便一覧!$K$4:$K$17&lt;=C7)*(便一覧!$L$4:$L$17&gt;C7))</f>
        <v/>
      </c>
      <c r="C7" s="26" t="n">
        <v>390</v>
      </c>
    </row>
    <row r="8">
      <c r="A8" s="24" t="inlineStr">
        <is>
          <t>07:00</t>
        </is>
      </c>
      <c r="B8" s="25">
        <f>SUMPRODUCT((便一覧!$K$4:$K$17&lt;=C8)*(便一覧!$L$4:$L$17&gt;C8))</f>
        <v/>
      </c>
      <c r="C8" s="26" t="n">
        <v>420</v>
      </c>
    </row>
    <row r="9">
      <c r="A9" s="24" t="inlineStr">
        <is>
          <t>07:30</t>
        </is>
      </c>
      <c r="B9" s="25">
        <f>SUMPRODUCT((便一覧!$K$4:$K$17&lt;=C9)*(便一覧!$L$4:$L$17&gt;C9))</f>
        <v/>
      </c>
      <c r="C9" s="26" t="n">
        <v>450</v>
      </c>
    </row>
    <row r="10">
      <c r="A10" s="24" t="inlineStr">
        <is>
          <t>08:00</t>
        </is>
      </c>
      <c r="B10" s="25">
        <f>SUMPRODUCT((便一覧!$K$4:$K$17&lt;=C10)*(便一覧!$L$4:$L$17&gt;C10))</f>
        <v/>
      </c>
      <c r="C10" s="26" t="n">
        <v>480</v>
      </c>
    </row>
    <row r="11">
      <c r="A11" s="24" t="inlineStr">
        <is>
          <t>08:30</t>
        </is>
      </c>
      <c r="B11" s="25">
        <f>SUMPRODUCT((便一覧!$K$4:$K$17&lt;=C11)*(便一覧!$L$4:$L$17&gt;C11))</f>
        <v/>
      </c>
      <c r="C11" s="26" t="n">
        <v>510</v>
      </c>
    </row>
    <row r="12">
      <c r="A12" s="24" t="inlineStr">
        <is>
          <t>09:00</t>
        </is>
      </c>
      <c r="B12" s="25">
        <f>SUMPRODUCT((便一覧!$K$4:$K$17&lt;=C12)*(便一覧!$L$4:$L$17&gt;C12))</f>
        <v/>
      </c>
      <c r="C12" s="26" t="n">
        <v>540</v>
      </c>
    </row>
    <row r="13">
      <c r="A13" s="24" t="inlineStr">
        <is>
          <t>09:30</t>
        </is>
      </c>
      <c r="B13" s="25">
        <f>SUMPRODUCT((便一覧!$K$4:$K$17&lt;=C13)*(便一覧!$L$4:$L$17&gt;C13))</f>
        <v/>
      </c>
      <c r="C13" s="26" t="n">
        <v>570</v>
      </c>
    </row>
    <row r="14">
      <c r="A14" s="24" t="inlineStr">
        <is>
          <t>10:00</t>
        </is>
      </c>
      <c r="B14" s="27">
        <f>SUMPRODUCT((便一覧!$K$4:$K$17&lt;=C14)*(便一覧!$L$4:$L$17&gt;C14))</f>
        <v/>
      </c>
      <c r="C14" s="26" t="n">
        <v>600</v>
      </c>
    </row>
    <row r="15">
      <c r="A15" s="24" t="inlineStr">
        <is>
          <t>10:30</t>
        </is>
      </c>
      <c r="B15" s="27">
        <f>SUMPRODUCT((便一覧!$K$4:$K$17&lt;=C15)*(便一覧!$L$4:$L$17&gt;C15))</f>
        <v/>
      </c>
      <c r="C15" s="26" t="n">
        <v>630</v>
      </c>
    </row>
    <row r="16">
      <c r="A16" s="24" t="inlineStr">
        <is>
          <t>11:00</t>
        </is>
      </c>
      <c r="B16" s="27">
        <f>SUMPRODUCT((便一覧!$K$4:$K$17&lt;=C16)*(便一覧!$L$4:$L$17&gt;C16))</f>
        <v/>
      </c>
      <c r="C16" s="26" t="n">
        <v>660</v>
      </c>
    </row>
    <row r="17">
      <c r="A17" s="24" t="inlineStr">
        <is>
          <t>11:30</t>
        </is>
      </c>
      <c r="B17" s="27">
        <f>SUMPRODUCT((便一覧!$K$4:$K$17&lt;=C17)*(便一覧!$L$4:$L$17&gt;C17))</f>
        <v/>
      </c>
      <c r="C17" s="26" t="n">
        <v>690</v>
      </c>
    </row>
    <row r="18">
      <c r="A18" s="24" t="inlineStr">
        <is>
          <t>12:00</t>
        </is>
      </c>
      <c r="B18" s="27">
        <f>SUMPRODUCT((便一覧!$K$4:$K$17&lt;=C18)*(便一覧!$L$4:$L$17&gt;C18))</f>
        <v/>
      </c>
      <c r="C18" s="26" t="n">
        <v>720</v>
      </c>
    </row>
    <row r="19">
      <c r="A19" s="24" t="inlineStr">
        <is>
          <t>12:30</t>
        </is>
      </c>
      <c r="B19" s="27">
        <f>SUMPRODUCT((便一覧!$K$4:$K$17&lt;=C19)*(便一覧!$L$4:$L$17&gt;C19))</f>
        <v/>
      </c>
      <c r="C19" s="26" t="n">
        <v>750</v>
      </c>
    </row>
    <row r="20">
      <c r="A20" s="24" t="inlineStr">
        <is>
          <t>13:00</t>
        </is>
      </c>
      <c r="B20" s="27">
        <f>SUMPRODUCT((便一覧!$K$4:$K$17&lt;=C20)*(便一覧!$L$4:$L$17&gt;C20))</f>
        <v/>
      </c>
      <c r="C20" s="26" t="n">
        <v>780</v>
      </c>
    </row>
    <row r="21">
      <c r="A21" s="24" t="inlineStr">
        <is>
          <t>13:30</t>
        </is>
      </c>
      <c r="B21" s="27">
        <f>SUMPRODUCT((便一覧!$K$4:$K$17&lt;=C21)*(便一覧!$L$4:$L$17&gt;C21))</f>
        <v/>
      </c>
      <c r="C21" s="26" t="n">
        <v>810</v>
      </c>
    </row>
    <row r="22">
      <c r="A22" s="24" t="inlineStr">
        <is>
          <t>14:00</t>
        </is>
      </c>
      <c r="B22" s="27">
        <f>SUMPRODUCT((便一覧!$K$4:$K$17&lt;=C22)*(便一覧!$L$4:$L$17&gt;C22))</f>
        <v/>
      </c>
      <c r="C22" s="26" t="n">
        <v>840</v>
      </c>
    </row>
    <row r="23">
      <c r="A23" s="24" t="inlineStr">
        <is>
          <t>14:30</t>
        </is>
      </c>
      <c r="B23" s="27">
        <f>SUMPRODUCT((便一覧!$K$4:$K$17&lt;=C23)*(便一覧!$L$4:$L$17&gt;C23))</f>
        <v/>
      </c>
      <c r="C23" s="26" t="n">
        <v>870</v>
      </c>
    </row>
    <row r="24">
      <c r="A24" s="24" t="inlineStr">
        <is>
          <t>15:00</t>
        </is>
      </c>
      <c r="B24" s="27">
        <f>SUMPRODUCT((便一覧!$K$4:$K$17&lt;=C24)*(便一覧!$L$4:$L$17&gt;C24))</f>
        <v/>
      </c>
      <c r="C24" s="26" t="n">
        <v>900</v>
      </c>
    </row>
    <row r="25">
      <c r="A25" s="24" t="inlineStr">
        <is>
          <t>15:30</t>
        </is>
      </c>
      <c r="B25" s="27">
        <f>SUMPRODUCT((便一覧!$K$4:$K$17&lt;=C25)*(便一覧!$L$4:$L$17&gt;C25))</f>
        <v/>
      </c>
      <c r="C25" s="26" t="n">
        <v>930</v>
      </c>
    </row>
    <row r="26">
      <c r="A26" s="24" t="inlineStr">
        <is>
          <t>16:00</t>
        </is>
      </c>
      <c r="B26" s="27">
        <f>SUMPRODUCT((便一覧!$K$4:$K$17&lt;=C26)*(便一覧!$L$4:$L$17&gt;C26))</f>
        <v/>
      </c>
      <c r="C26" s="26" t="n">
        <v>960</v>
      </c>
    </row>
    <row r="27">
      <c r="A27" s="24" t="inlineStr">
        <is>
          <t>16:30</t>
        </is>
      </c>
      <c r="B27" s="27">
        <f>SUMPRODUCT((便一覧!$K$4:$K$17&lt;=C27)*(便一覧!$L$4:$L$17&gt;C27))</f>
        <v/>
      </c>
      <c r="C27" s="26" t="n">
        <v>990</v>
      </c>
    </row>
    <row r="28">
      <c r="A28" s="24" t="inlineStr">
        <is>
          <t>17:00</t>
        </is>
      </c>
      <c r="B28" s="27">
        <f>SUMPRODUCT((便一覧!$K$4:$K$17&lt;=C28)*(便一覧!$L$4:$L$17&gt;C28))</f>
        <v/>
      </c>
      <c r="C28" s="26" t="n">
        <v>1020</v>
      </c>
    </row>
    <row r="29">
      <c r="A29" s="24" t="inlineStr">
        <is>
          <t>17:30</t>
        </is>
      </c>
      <c r="B29" s="27">
        <f>SUMPRODUCT((便一覧!$K$4:$K$17&lt;=C29)*(便一覧!$L$4:$L$17&gt;C29))</f>
        <v/>
      </c>
      <c r="C29" s="26" t="n">
        <v>1050</v>
      </c>
    </row>
    <row r="30">
      <c r="A30" s="24" t="inlineStr">
        <is>
          <t>18:00</t>
        </is>
      </c>
      <c r="B30" s="27">
        <f>SUMPRODUCT((便一覧!$K$4:$K$17&lt;=C30)*(便一覧!$L$4:$L$17&gt;C30))</f>
        <v/>
      </c>
      <c r="C30" s="26" t="n">
        <v>1080</v>
      </c>
    </row>
    <row r="31">
      <c r="A31" s="24" t="inlineStr">
        <is>
          <t>18:30</t>
        </is>
      </c>
      <c r="B31" s="27">
        <f>SUMPRODUCT((便一覧!$K$4:$K$17&lt;=C31)*(便一覧!$L$4:$L$17&gt;C31))</f>
        <v/>
      </c>
      <c r="C31" s="26" t="n">
        <v>1110</v>
      </c>
    </row>
    <row r="32">
      <c r="A32" s="24" t="inlineStr">
        <is>
          <t>19:00</t>
        </is>
      </c>
      <c r="B32" s="27">
        <f>SUMPRODUCT((便一覧!$K$4:$K$17&lt;=C32)*(便一覧!$L$4:$L$17&gt;C32))</f>
        <v/>
      </c>
      <c r="C32" s="26" t="n">
        <v>1140</v>
      </c>
    </row>
    <row r="33">
      <c r="A33" s="24" t="inlineStr">
        <is>
          <t>19:30</t>
        </is>
      </c>
      <c r="B33" s="27">
        <f>SUMPRODUCT((便一覧!$K$4:$K$17&lt;=C33)*(便一覧!$L$4:$L$17&gt;C33))</f>
        <v/>
      </c>
      <c r="C33" s="26" t="n">
        <v>1170</v>
      </c>
    </row>
    <row r="35">
      <c r="A35" s="28" t="inlineStr">
        <is>
          <t>延べ稼働（合計）</t>
        </is>
      </c>
      <c r="B35" s="29">
        <f>SUM(B5:B33)</f>
        <v/>
      </c>
    </row>
    <row r="36">
      <c r="A36" s="28" t="inlineStr">
        <is>
          <t>ピーク同時稼働</t>
        </is>
      </c>
      <c r="B36" s="29">
        <f>MAX(B5:B33)</f>
        <v/>
      </c>
    </row>
    <row r="37">
      <c r="A37" s="28" t="inlineStr">
        <is>
          <t>ピーク時刻</t>
        </is>
      </c>
      <c r="B37" s="29">
        <f>INDEX(A5:A33,MATCH(MAX(B5:B33),B5:B33,0))</f>
        <v/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2026-08-07T05:52:04Z</dcterms:created>
  <dcterms:modified xsi:type="dcterms:W3CDTF">2026-08-07T05:52:04Z</dcterms:modified>
</cp:coreProperties>
</file>